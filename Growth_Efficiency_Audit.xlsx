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24DF676-6290-4416-8F27-FA451E1CFE3E}" xr6:coauthVersionLast="47" xr6:coauthVersionMax="47" xr10:uidLastSave="{00000000-0000-0000-0000-000000000000}"/>
  <bookViews>
    <workbookView xWindow="-108" yWindow="-108" windowWidth="23256" windowHeight="12456" xr2:uid="{722E4B57-17F9-4FB9-B701-A3088C1AF742}"/>
  </bookViews>
  <sheets>
    <sheet name="Dashboard" sheetId="4" r:id="rId1"/>
    <sheet name="Trend Analysis" sheetId="2" r:id="rId2"/>
    <sheet name="Anomaly_Summary" sheetId="3" r:id="rId3"/>
    <sheet name="Pivot_CEO_View" sheetId="5" state="hidden" r:id="rId4"/>
    <sheet name="Pivot_Correlation" sheetId="8" state="hidden" r:id="rId5"/>
    <sheet name="raw_data" sheetId="1" r:id="rId6"/>
  </sheets>
  <calcPr calcId="191029"/>
  <pivotCaches>
    <pivotCache cacheId="1" r:id="rId7"/>
  </pivotCaches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I2" i="1"/>
  <c r="H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</calcChain>
</file>

<file path=xl/sharedStrings.xml><?xml version="1.0" encoding="utf-8"?>
<sst xmlns="http://schemas.openxmlformats.org/spreadsheetml/2006/main" count="1019" uniqueCount="32">
  <si>
    <t>Date</t>
  </si>
  <si>
    <t>Region</t>
  </si>
  <si>
    <t>Channel</t>
  </si>
  <si>
    <t>Gross_Revenue</t>
  </si>
  <si>
    <t>Refunds</t>
  </si>
  <si>
    <t>Marketing_Spend</t>
  </si>
  <si>
    <t>Web_Traffic</t>
  </si>
  <si>
    <t>North</t>
  </si>
  <si>
    <t>Direct</t>
  </si>
  <si>
    <t>South</t>
  </si>
  <si>
    <t>Social</t>
  </si>
  <si>
    <t>Net Revenue</t>
  </si>
  <si>
    <t>ROI</t>
  </si>
  <si>
    <t>CPA</t>
  </si>
  <si>
    <t>Jan</t>
  </si>
  <si>
    <t>Feb</t>
  </si>
  <si>
    <t>Mar</t>
  </si>
  <si>
    <t>Apr</t>
  </si>
  <si>
    <t>May</t>
  </si>
  <si>
    <t>Jun</t>
  </si>
  <si>
    <t>Jul</t>
  </si>
  <si>
    <t>Aug</t>
  </si>
  <si>
    <t>Month</t>
  </si>
  <si>
    <t>Monthly_Marketing_Spend</t>
  </si>
  <si>
    <t xml:space="preserve"> Monthly_Net Revenue</t>
  </si>
  <si>
    <t>MoM_Net Revenue_Growth</t>
  </si>
  <si>
    <t>MoM_Marketing_Spend_Growth</t>
  </si>
  <si>
    <t>Monthly_ROI</t>
  </si>
  <si>
    <t>Monthly_Refunds</t>
  </si>
  <si>
    <t>Monthly_Net_Revenue</t>
  </si>
  <si>
    <t>Monthly_Web_Traffic</t>
  </si>
  <si>
    <t>Monthly_Gross_Revenue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</si>
</sst>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19" formatCode="dd/mm/yyyy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[Suraj_Bhandari_Data_Analyst1_Test.xlsx]Pivot_CEO_View!PivotTable1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ROI Trend</a:t>
            </a:r>
            <a:endParaRPr lang="en-IN"/>
          </a:p>
        </c:rich>
      </c:tx>
      <c:layout>
        <c:manualLayout>
          <c:xMode val="edge"/>
          <c:yMode val="edge"/>
          <c:x val="0.33216951354307916"/>
          <c:y val="0.11695906432748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Pivot_CEO_View!$B$1</c:f>
              <c:strCache>
                <c:ptCount val="1"/>
                <c:pt idx="0">
                  <c:v>Monthly_Net_Revenue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Pivot_CEO_View!$A$2:$A$9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Pivot_CEO_View!$B$2:$B$9</c:f>
              <c:numCache>
                <c:formatCode>General</c:formatCode>
                <c:ptCount val="8"/>
                <c:pt idx="0">
                  <c:v>176874</c:v>
                </c:pt>
                <c:pt idx="1">
                  <c:v>211484</c:v>
                </c:pt>
                <c:pt idx="2">
                  <c:v>321020</c:v>
                </c:pt>
                <c:pt idx="3">
                  <c:v>379240</c:v>
                </c:pt>
                <c:pt idx="4">
                  <c:v>309240</c:v>
                </c:pt>
                <c:pt idx="5">
                  <c:v>281786</c:v>
                </c:pt>
                <c:pt idx="6">
                  <c:v>356360</c:v>
                </c:pt>
                <c:pt idx="7">
                  <c:v>432454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5-4A67-9E85-FFBC936D3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74816"/>
        <c:axId val="484170976"/>
      </c:barChart>
      <c:lineChart>
        <c:grouping val="standard"/>
        <c:varyColors val="0"/>
        <c:ser>
          <c:idx val="1"/>
          <c:order val="1"/>
          <c:tx>
            <c:strRef>
              <c:f>Pivot_CEO_View!$C$1</c:f>
              <c:strCache>
                <c:ptCount val="1"/>
                <c:pt idx="0">
                  <c:v>Monthly_ROI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Pivot_CEO_View!$A$2:$A$9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Pivot_CEO_View!$C$2:$C$9</c:f>
              <c:numCache>
                <c:formatCode>0.00</c:formatCode>
                <c:ptCount val="8"/>
                <c:pt idx="0">
                  <c:v>4.7752159827213827</c:v>
                </c:pt>
                <c:pt idx="1">
                  <c:v>4.9690789473684207</c:v>
                </c:pt>
                <c:pt idx="2">
                  <c:v>4.9078122611221522</c:v>
                </c:pt>
                <c:pt idx="3">
                  <c:v>3.4382592928377154</c:v>
                </c:pt>
                <c:pt idx="4">
                  <c:v>4.5343108504398826</c:v>
                </c:pt>
                <c:pt idx="5">
                  <c:v>4.1245023419203743</c:v>
                </c:pt>
                <c:pt idx="6">
                  <c:v>4.7897849462365594</c:v>
                </c:pt>
                <c:pt idx="7">
                  <c:v>4.7491104766088297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5-4A67-9E85-FFBC936D3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59456"/>
        <c:axId val="484179136"/>
      </c:lineChart>
      <c:catAx>
        <c:axId val="48417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70976"/>
        <c:crosses val="autoZero"/>
        <c:auto val="1"/>
        <c:lblAlgn val="ctr"/>
        <c:lblOffset val="100"/>
        <c:noMultiLvlLbl val="0"/>
      </c:catAx>
      <c:valAx>
        <c:axId val="48417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74816"/>
        <c:crosses val="autoZero"/>
        <c:crossBetween val="between"/>
      </c:valAx>
      <c:valAx>
        <c:axId val="484179136"/>
        <c:scaling>
          <c:orientation val="minMax"/>
          <c:min val="3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59456"/>
        <c:crosses val="max"/>
        <c:crossBetween val="between"/>
      </c:valAx>
      <c:catAx>
        <c:axId val="484159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4179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947814229444188"/>
          <c:y val="1.8633635707817228E-2"/>
          <c:w val="0.52625336630316288"/>
          <c:h val="6.578993415296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Web_Traffic vs Gross_Revenue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Pivot_Correlation!$C$1</c:f>
              <c:strCache>
                <c:ptCount val="1"/>
                <c:pt idx="0">
                  <c:v>Monthly_Gross_Revenue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512904636920382E-2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Pivot_Correlation!$B$2:$B$9</c:f>
              <c:numCache>
                <c:formatCode>General</c:formatCode>
                <c:ptCount val="8"/>
                <c:pt idx="0">
                  <c:v>185850</c:v>
                </c:pt>
                <c:pt idx="1">
                  <c:v>214200</c:v>
                </c:pt>
                <c:pt idx="2">
                  <c:v>328600</c:v>
                </c:pt>
                <c:pt idx="3">
                  <c:v>521200</c:v>
                </c:pt>
                <c:pt idx="4">
                  <c:v>368900</c:v>
                </c:pt>
                <c:pt idx="5">
                  <c:v>388600</c:v>
                </c:pt>
                <c:pt idx="6">
                  <c:v>409200</c:v>
                </c:pt>
                <c:pt idx="7">
                  <c:v>488200</c:v>
                </c:pt>
              </c:numCache>
            </c:numRef>
          </c:xVal>
          <c:yVal>
            <c:numRef>
              <c:f>Pivot_Correlation!$C$2:$C$9</c:f>
              <c:numCache>
                <c:formatCode>General</c:formatCode>
                <c:ptCount val="8"/>
                <c:pt idx="0">
                  <c:v>186100</c:v>
                </c:pt>
                <c:pt idx="1">
                  <c:v>222600</c:v>
                </c:pt>
                <c:pt idx="2">
                  <c:v>337900</c:v>
                </c:pt>
                <c:pt idx="3">
                  <c:v>399200</c:v>
                </c:pt>
                <c:pt idx="4">
                  <c:v>325500</c:v>
                </c:pt>
                <c:pt idx="5">
                  <c:v>359200</c:v>
                </c:pt>
                <c:pt idx="6">
                  <c:v>375100</c:v>
                </c:pt>
                <c:pt idx="7">
                  <c:v>455200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D-4267-8BB9-9B6E542A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21551"/>
        <c:axId val="1227208111"/>
      </c:scatterChart>
      <c:valAx>
        <c:axId val="122722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Web_Traffic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08111"/>
        <c:crosses val="autoZero"/>
        <c:crossBetween val="midCat"/>
      </c:valAx>
      <c:valAx>
        <c:axId val="122720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Gross_Revenue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2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0</xdr:row>
      <xdr:rowOff>140970</xdr:rowOff>
    </xdr:from>
    <xdr:to>
      <xdr:col>10</xdr:col>
      <xdr:colOff>236220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329CB-EA8C-1303-58FC-8266043CD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167640</xdr:colOff>
      <xdr:row>0</xdr:row>
      <xdr:rowOff>133350</xdr:rowOff>
    </xdr:from>
    <xdr:to>
      <xdr:col>22</xdr:col>
      <xdr:colOff>411480</xdr:colOff>
      <xdr:row>18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0E8DEB-5024-1FA6-7ED0-ED70363E6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594360</xdr:colOff>
      <xdr:row>21</xdr:row>
      <xdr:rowOff>7620</xdr:rowOff>
    </xdr:from>
    <xdr:to>
      <xdr:col>6</xdr:col>
      <xdr:colOff>594360</xdr:colOff>
      <xdr:row>27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A46D2D-4D2D-53C9-E877-501EC605D40A}"/>
            </a:ext>
          </a:extLst>
        </xdr:cNvPr>
        <xdr:cNvSpPr txBox="1"/>
      </xdr:nvSpPr>
      <xdr:spPr>
        <a:xfrm>
          <a:off x="594360" y="3848100"/>
          <a:ext cx="3657600" cy="1257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/>
            <a:t>• Revenue scaled steadily from January to August.</a:t>
          </a:r>
          <a:br>
            <a:rPr lang="en-IN"/>
          </a:br>
          <a:r>
            <a:rPr lang="en-IN"/>
            <a:t>• ROI remained largely stable (4.78 → 4.75).</a:t>
          </a:r>
          <a:br>
            <a:rPr lang="en-IN"/>
          </a:br>
          <a:r>
            <a:rPr lang="en-IN"/>
            <a:t>• April shows a temporary efficiency breakdown during aggressive spend scaling.</a:t>
          </a:r>
          <a:br>
            <a:rPr lang="en-IN"/>
          </a:br>
          <a:r>
            <a:rPr lang="en-IN"/>
            <a:t>• Overall, the business scaled revenue without materially improving efficiency.</a:t>
          </a:r>
          <a:endParaRPr lang="en-IN" sz="1100"/>
        </a:p>
      </xdr:txBody>
    </xdr:sp>
    <xdr:clientData/>
  </xdr:twoCellAnchor>
  <xdr:twoCellAnchor>
    <xdr:from>
      <xdr:col>13</xdr:col>
      <xdr:colOff>182880</xdr:colOff>
      <xdr:row>21</xdr:row>
      <xdr:rowOff>0</xdr:rowOff>
    </xdr:from>
    <xdr:to>
      <xdr:col>19</xdr:col>
      <xdr:colOff>198120</xdr:colOff>
      <xdr:row>28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5FE6FD-A4FC-4C34-C703-E516FEE80331}"/>
            </a:ext>
          </a:extLst>
        </xdr:cNvPr>
        <xdr:cNvSpPr txBox="1"/>
      </xdr:nvSpPr>
      <xdr:spPr>
        <a:xfrm>
          <a:off x="8107680" y="3840480"/>
          <a:ext cx="3672840" cy="1280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• Strong positive correlation between Web Traffic and Gross Revenue (R² ≈ 0.91).</a:t>
          </a:r>
          <a:br>
            <a:rPr lang="en-IN"/>
          </a:br>
          <a:r>
            <a:rPr lang="en-IN"/>
            <a:t>• Web traffic explains the majority of revenue variation.</a:t>
          </a:r>
          <a:br>
            <a:rPr lang="en-IN"/>
          </a:br>
          <a:r>
            <a:rPr lang="en-IN"/>
            <a:t>• April underperformed relative to expected revenue given traffic levels.</a:t>
          </a:r>
          <a:br>
            <a:rPr lang="en-IN"/>
          </a:br>
          <a:r>
            <a:rPr lang="en-IN"/>
            <a:t>• Suggests a temporary conversion or traffic-quality issue.</a:t>
          </a:r>
          <a:endParaRPr lang="en-IN" sz="1100"/>
        </a:p>
      </xdr:txBody>
    </xdr:sp>
    <xdr:clientData/>
  </xdr:twoCellAnchor>
  <xdr:twoCellAnchor>
    <xdr:from>
      <xdr:col>3</xdr:col>
      <xdr:colOff>160020</xdr:colOff>
      <xdr:row>18</xdr:row>
      <xdr:rowOff>167640</xdr:rowOff>
    </xdr:from>
    <xdr:to>
      <xdr:col>6</xdr:col>
      <xdr:colOff>525780</xdr:colOff>
      <xdr:row>20</xdr:row>
      <xdr:rowOff>7620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C0DD7C-A6D6-925C-09D9-88F72A886EA8}"/>
            </a:ext>
          </a:extLst>
        </xdr:cNvPr>
        <xdr:cNvSpPr txBox="1"/>
      </xdr:nvSpPr>
      <xdr:spPr>
        <a:xfrm>
          <a:off x="1988820" y="3459480"/>
          <a:ext cx="2194560" cy="205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b="1"/>
            <a:t>Scaling &amp; Efficiency Insight</a:t>
          </a:r>
          <a:endParaRPr lang="en-IN" sz="1100" b="1"/>
        </a:p>
      </xdr:txBody>
    </xdr:sp>
    <xdr:clientData/>
  </xdr:twoCellAnchor>
  <xdr:twoCellAnchor>
    <xdr:from>
      <xdr:col>15</xdr:col>
      <xdr:colOff>327660</xdr:colOff>
      <xdr:row>18</xdr:row>
      <xdr:rowOff>114300</xdr:rowOff>
    </xdr:from>
    <xdr:to>
      <xdr:col>19</xdr:col>
      <xdr:colOff>342900</xdr:colOff>
      <xdr:row>19</xdr:row>
      <xdr:rowOff>144780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4C49B6-7DBF-A968-E8CD-2F5B7CCC313C}"/>
            </a:ext>
          </a:extLst>
        </xdr:cNvPr>
        <xdr:cNvSpPr txBox="1"/>
      </xdr:nvSpPr>
      <xdr:spPr>
        <a:xfrm>
          <a:off x="9471660" y="3406140"/>
          <a:ext cx="2453640" cy="2133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Traffic-Revenue Correlation Insight</a:t>
          </a:r>
          <a:endParaRPr lang="en-IN">
            <a:effectLst/>
          </a:endParaRPr>
        </a:p>
        <a:p>
          <a:pPr algn="ctr"/>
          <a:endParaRPr lang="en-IN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12</xdr:row>
      <xdr:rowOff>160020</xdr:rowOff>
    </xdr:from>
    <xdr:ext cx="5387340" cy="1470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42B050-34C9-99E7-082D-C642DC165818}"/>
            </a:ext>
          </a:extLst>
        </xdr:cNvPr>
        <xdr:cNvSpPr txBox="1"/>
      </xdr:nvSpPr>
      <xdr:spPr>
        <a:xfrm>
          <a:off x="609600" y="2354580"/>
          <a:ext cx="5387340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/>
            <a:t>ROI Analysis – January vs August</a:t>
          </a:r>
        </a:p>
        <a:p>
          <a:r>
            <a:rPr lang="en-IN"/>
            <a:t>• January ROI (Baseline): </a:t>
          </a:r>
          <a:r>
            <a:rPr lang="en-IN" b="1"/>
            <a:t>4.78</a:t>
          </a:r>
          <a:br>
            <a:rPr lang="en-IN"/>
          </a:br>
          <a:r>
            <a:rPr lang="en-IN"/>
            <a:t>• August ROI (Scaling): </a:t>
          </a:r>
          <a:r>
            <a:rPr lang="en-IN" b="1"/>
            <a:t>4.75</a:t>
          </a:r>
          <a:br>
            <a:rPr lang="en-IN"/>
          </a:br>
          <a:r>
            <a:rPr lang="en-IN"/>
            <a:t>• Change: Marginal decline (~0.6%)</a:t>
          </a:r>
        </a:p>
        <a:p>
          <a:r>
            <a:rPr lang="en-IN" b="1"/>
            <a:t>Conclusion:</a:t>
          </a:r>
          <a:br>
            <a:rPr lang="en-IN"/>
          </a:br>
          <a:r>
            <a:rPr lang="en-IN"/>
            <a:t>Despite revenue growth over 8 months, overall efficiency remained largely stable with a marginal decline. The business scaled revenue without significantly improving ROI.</a:t>
          </a:r>
        </a:p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533400</xdr:colOff>
      <xdr:row>0</xdr:row>
      <xdr:rowOff>175260</xdr:rowOff>
    </xdr:from>
    <xdr:ext cx="7589520" cy="52654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A17733-75C2-64FD-5180-E073C07222C7}"/>
            </a:ext>
          </a:extLst>
        </xdr:cNvPr>
        <xdr:cNvSpPr txBox="1"/>
      </xdr:nvSpPr>
      <xdr:spPr>
        <a:xfrm>
          <a:off x="2971800" y="175260"/>
          <a:ext cx="7589520" cy="5265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 b="1" baseline="0"/>
            <a:t>   Deep-Dive </a:t>
          </a:r>
          <a:r>
            <a:rPr lang="en-IN" sz="2000" b="1"/>
            <a:t>Anomaly Detection:</a:t>
          </a:r>
        </a:p>
        <a:p>
          <a:r>
            <a:rPr lang="en-IN" sz="2000" b="1"/>
            <a:t>📌 Event 1 – April</a:t>
          </a:r>
          <a:r>
            <a:rPr lang="en-IN" sz="2000" b="1" baseline="0"/>
            <a:t> Efficiency Breakdown During</a:t>
          </a:r>
          <a:r>
            <a:rPr lang="en-IN" sz="2000" b="1"/>
            <a:t> Scaling</a:t>
          </a:r>
        </a:p>
        <a:p>
          <a:r>
            <a:rPr lang="en-IN" sz="2000"/>
            <a:t>• Marketing Spend increased </a:t>
          </a:r>
          <a:r>
            <a:rPr lang="en-IN" sz="2000" b="1"/>
            <a:t>+68.63%</a:t>
          </a:r>
          <a:br>
            <a:rPr lang="en-IN" sz="2000"/>
          </a:br>
          <a:r>
            <a:rPr lang="en-IN" sz="2000"/>
            <a:t>• Net Revenue increased only </a:t>
          </a:r>
          <a:r>
            <a:rPr lang="en-IN" sz="2000" b="1"/>
            <a:t>+18.14% </a:t>
          </a:r>
          <a:r>
            <a:rPr lang="en-IN" sz="2000"/>
            <a:t>vs </a:t>
          </a:r>
          <a:r>
            <a:rPr lang="en-IN" sz="2000" b="1"/>
            <a:t>+68.63% </a:t>
          </a:r>
          <a:r>
            <a:rPr lang="en-IN" sz="2000"/>
            <a:t>spend growth</a:t>
          </a:r>
          <a:br>
            <a:rPr lang="en-IN" sz="2000"/>
          </a:br>
          <a:r>
            <a:rPr lang="en-IN" sz="2000"/>
            <a:t>• ROI declined from </a:t>
          </a:r>
          <a:r>
            <a:rPr lang="en-IN" sz="2000" b="1"/>
            <a:t>4.91 to 3.44 (~30% drop)</a:t>
          </a:r>
          <a:br>
            <a:rPr lang="en-IN" sz="2000"/>
          </a:br>
          <a:r>
            <a:rPr lang="en-IN" sz="2000" b="1"/>
            <a:t>Probable Cause:</a:t>
          </a:r>
          <a:r>
            <a:rPr lang="en-IN" sz="2000"/>
            <a:t> Rapid spend scaling likely reduced traffic quality and conversion efficiency.</a:t>
          </a:r>
        </a:p>
        <a:p>
          <a:endParaRPr lang="en-IN" sz="2000"/>
        </a:p>
        <a:p>
          <a:r>
            <a:rPr lang="en-IN" sz="2000" b="1"/>
            <a:t>📌 Event 2 – June</a:t>
          </a:r>
          <a:r>
            <a:rPr lang="en-IN" sz="2000" b="1" baseline="0"/>
            <a:t> Operational Stress Signal (Refund Spike)                     </a:t>
          </a:r>
          <a:r>
            <a:rPr lang="en-IN" sz="2000"/>
            <a:t>• Refunds increased from </a:t>
          </a:r>
          <a:r>
            <a:rPr lang="en-IN" sz="2000" b="1"/>
            <a:t>~16K </a:t>
          </a:r>
          <a:r>
            <a:rPr lang="en-IN" sz="2000"/>
            <a:t>to </a:t>
          </a:r>
          <a:r>
            <a:rPr lang="en-IN" sz="2000" b="1"/>
            <a:t>77K (+376%)</a:t>
          </a:r>
          <a:br>
            <a:rPr lang="en-IN" sz="2000"/>
          </a:br>
          <a:r>
            <a:rPr lang="en-IN" sz="2000"/>
            <a:t>• Net Revenue declined </a:t>
          </a:r>
          <a:r>
            <a:rPr lang="en-IN" sz="2000" b="1"/>
            <a:t>-8.88%</a:t>
          </a:r>
          <a:br>
            <a:rPr lang="en-IN" sz="2000"/>
          </a:br>
          <a:r>
            <a:rPr lang="en-IN" sz="2000"/>
            <a:t>• ROI weakened from </a:t>
          </a:r>
          <a:r>
            <a:rPr lang="en-IN" sz="2000" b="1"/>
            <a:t>4.53 to 4.12</a:t>
          </a:r>
          <a:br>
            <a:rPr lang="en-IN" sz="2000"/>
          </a:br>
          <a:r>
            <a:rPr lang="en-IN" sz="2000" b="1"/>
            <a:t>Probable Cause:</a:t>
          </a:r>
          <a:r>
            <a:rPr lang="en-IN" sz="2000"/>
            <a:t> The refund spike strongly indicates operational stress</a:t>
          </a:r>
          <a:r>
            <a:rPr lang="en-IN" sz="2000" baseline="0"/>
            <a:t> - </a:t>
          </a:r>
          <a:r>
            <a:rPr lang="en-IN" sz="2000"/>
            <a:t>potentially product quality issues, campaign-target mismatch, or fulfillment breakdown.</a:t>
          </a:r>
        </a:p>
        <a:p>
          <a:pPr algn="ctr"/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4.049394212961" createdVersion="8" refreshedVersion="8" minRefreshableVersion="3" recordCount="486" xr:uid="{DEE0C73B-20BA-443B-BC02-9C525052F685}">
  <cacheSource type="worksheet">
    <worksheetSource name="Table1"/>
  </cacheSource>
  <cacheFields count="13">
    <cacheField name="Date" numFmtId="14">
      <sharedItems containsSemiMixedTypes="0" containsNonDate="0" containsDate="1" containsString="0" minDate="2025-01-01T00:00:00" maxDate="2025-09-01T00:00:00" count="243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</sharedItems>
      <fieldGroup par="11"/>
    </cacheField>
    <cacheField name="Region" numFmtId="0">
      <sharedItems/>
    </cacheField>
    <cacheField name="Channel" numFmtId="0">
      <sharedItems/>
    </cacheField>
    <cacheField name="Gross_Revenue" numFmtId="0">
      <sharedItems containsSemiMixedTypes="0" containsString="0" containsNumber="1" containsInteger="1" minValue="2600" maxValue="11500"/>
    </cacheField>
    <cacheField name="Refunds" numFmtId="0">
      <sharedItems containsSemiMixedTypes="0" containsString="0" containsNumber="1" containsInteger="1" minValue="130" maxValue="4900"/>
    </cacheField>
    <cacheField name="Marketing_Spend" numFmtId="0">
      <sharedItems containsSemiMixedTypes="0" containsString="0" containsNumber="1" containsInteger="1" minValue="450" maxValue="4200"/>
    </cacheField>
    <cacheField name="Web_Traffic" numFmtId="0">
      <sharedItems containsSemiMixedTypes="0" containsString="0" containsNumber="1" containsInteger="1" minValue="2300" maxValue="17500"/>
    </cacheField>
    <cacheField name="Net Revenue" numFmtId="0">
      <sharedItems containsSemiMixedTypes="0" containsString="0" containsNumber="1" containsInteger="1" minValue="400" maxValue="10925"/>
    </cacheField>
    <cacheField name="ROI" numFmtId="2">
      <sharedItems containsSemiMixedTypes="0" containsString="0" containsNumber="1" minValue="0.55555555555555558" maxValue="6.65"/>
    </cacheField>
    <cacheField name="CPA" numFmtId="2">
      <sharedItems containsSemiMixedTypes="0" containsString="0" containsNumber="1" minValue="0.14772727272727273" maxValue="0.24"/>
    </cacheField>
    <cacheField name="Days (Date)" numFmtId="0" databaseField="0">
      <fieldGroup base="0">
        <rangePr groupBy="days" startDate="2025-01-01T00:00:00" endDate="2025-09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9-2025"/>
        </groupItems>
      </fieldGroup>
    </cacheField>
    <cacheField name="Months (Date)" numFmtId="0" databaseField="0">
      <fieldGroup base="0">
        <rangePr groupBy="months" startDate="2025-01-01T00:00:00" endDate="2025-09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5"/>
        </groupItems>
      </fieldGroup>
    </cacheField>
    <cacheField name="ROI_Measure" numFmtId="0" formula="'Net Revenue'/Marketing_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s v="North"/>
    <s v="Direct"/>
    <n v="3200"/>
    <n v="160"/>
    <n v="500"/>
    <n v="2500"/>
    <n v="3040"/>
    <n v="6.08"/>
    <n v="0.2"/>
  </r>
  <r>
    <x v="0"/>
    <s v="South"/>
    <s v="Social"/>
    <n v="2800"/>
    <n v="140"/>
    <n v="700"/>
    <n v="3500"/>
    <n v="2660"/>
    <n v="3.8"/>
    <n v="0.2"/>
  </r>
  <r>
    <x v="1"/>
    <s v="North"/>
    <s v="Direct"/>
    <n v="3150"/>
    <n v="150"/>
    <n v="480"/>
    <n v="2450"/>
    <n v="3000"/>
    <n v="6.25"/>
    <n v="0.19591836734693877"/>
  </r>
  <r>
    <x v="1"/>
    <s v="South"/>
    <s v="Social"/>
    <n v="2750"/>
    <n v="130"/>
    <n v="680"/>
    <n v="3400"/>
    <n v="2620"/>
    <n v="3.8529411764705883"/>
    <n v="0.2"/>
  </r>
  <r>
    <x v="2"/>
    <s v="North"/>
    <s v="Direct"/>
    <n v="3300"/>
    <n v="165"/>
    <n v="520"/>
    <n v="2600"/>
    <n v="3135"/>
    <n v="6.0288461538461542"/>
    <n v="0.2"/>
  </r>
  <r>
    <x v="2"/>
    <s v="South"/>
    <s v="Social"/>
    <n v="2900"/>
    <n v="145"/>
    <n v="720"/>
    <n v="3600"/>
    <n v="2755"/>
    <n v="3.8263888888888888"/>
    <n v="0.2"/>
  </r>
  <r>
    <x v="3"/>
    <s v="North"/>
    <s v="Direct"/>
    <n v="3400"/>
    <n v="170"/>
    <n v="550"/>
    <n v="2700"/>
    <n v="3230"/>
    <n v="5.872727272727273"/>
    <n v="0.20370370370370369"/>
  </r>
  <r>
    <x v="3"/>
    <s v="South"/>
    <s v="Social"/>
    <n v="3000"/>
    <n v="150"/>
    <n v="750"/>
    <n v="3800"/>
    <n v="2850"/>
    <n v="3.8"/>
    <n v="0.19736842105263158"/>
  </r>
  <r>
    <x v="4"/>
    <s v="North"/>
    <s v="Direct"/>
    <n v="3000"/>
    <n v="150"/>
    <n v="450"/>
    <n v="2300"/>
    <n v="2850"/>
    <n v="6.333333333333333"/>
    <n v="0.19565217391304349"/>
  </r>
  <r>
    <x v="4"/>
    <s v="South"/>
    <s v="Social"/>
    <n v="2600"/>
    <n v="130"/>
    <n v="650"/>
    <n v="3200"/>
    <n v="2470"/>
    <n v="3.8"/>
    <n v="0.203125"/>
  </r>
  <r>
    <x v="5"/>
    <s v="North"/>
    <s v="Direct"/>
    <n v="3100"/>
    <n v="155"/>
    <n v="480"/>
    <n v="2400"/>
    <n v="2945"/>
    <n v="6.135416666666667"/>
    <n v="0.2"/>
  </r>
  <r>
    <x v="5"/>
    <s v="South"/>
    <s v="Social"/>
    <n v="2700"/>
    <n v="135"/>
    <n v="680"/>
    <n v="3400"/>
    <n v="2565"/>
    <n v="3.7720588235294117"/>
    <n v="0.2"/>
  </r>
  <r>
    <x v="6"/>
    <s v="North"/>
    <s v="Direct"/>
    <n v="3250"/>
    <n v="162"/>
    <n v="500"/>
    <n v="2550"/>
    <n v="3088"/>
    <n v="6.1760000000000002"/>
    <n v="0.19607843137254902"/>
  </r>
  <r>
    <x v="6"/>
    <s v="South"/>
    <s v="Social"/>
    <n v="2850"/>
    <n v="142"/>
    <n v="700"/>
    <n v="3550"/>
    <n v="2708"/>
    <n v="3.8685714285714288"/>
    <n v="0.19718309859154928"/>
  </r>
  <r>
    <x v="7"/>
    <s v="North"/>
    <s v="Direct"/>
    <n v="3200"/>
    <n v="160"/>
    <n v="500"/>
    <n v="2500"/>
    <n v="3040"/>
    <n v="6.08"/>
    <n v="0.2"/>
  </r>
  <r>
    <x v="7"/>
    <s v="South"/>
    <s v="Social"/>
    <n v="2800"/>
    <n v="140"/>
    <n v="700"/>
    <n v="3500"/>
    <n v="2660"/>
    <n v="3.8"/>
    <n v="0.2"/>
  </r>
  <r>
    <x v="8"/>
    <s v="North"/>
    <s v="Direct"/>
    <n v="3150"/>
    <n v="150"/>
    <n v="480"/>
    <n v="2450"/>
    <n v="3000"/>
    <n v="6.25"/>
    <n v="0.19591836734693877"/>
  </r>
  <r>
    <x v="8"/>
    <s v="South"/>
    <s v="Social"/>
    <n v="2750"/>
    <n v="130"/>
    <n v="680"/>
    <n v="3400"/>
    <n v="2620"/>
    <n v="3.8529411764705883"/>
    <n v="0.2"/>
  </r>
  <r>
    <x v="9"/>
    <s v="North"/>
    <s v="Direct"/>
    <n v="3300"/>
    <n v="165"/>
    <n v="520"/>
    <n v="2600"/>
    <n v="3135"/>
    <n v="6.0288461538461542"/>
    <n v="0.2"/>
  </r>
  <r>
    <x v="9"/>
    <s v="South"/>
    <s v="Social"/>
    <n v="2900"/>
    <n v="145"/>
    <n v="720"/>
    <n v="3600"/>
    <n v="2755"/>
    <n v="3.8263888888888888"/>
    <n v="0.2"/>
  </r>
  <r>
    <x v="10"/>
    <s v="North"/>
    <s v="Direct"/>
    <n v="3400"/>
    <n v="170"/>
    <n v="550"/>
    <n v="2700"/>
    <n v="3230"/>
    <n v="5.872727272727273"/>
    <n v="0.20370370370370369"/>
  </r>
  <r>
    <x v="10"/>
    <s v="South"/>
    <s v="Social"/>
    <n v="3000"/>
    <n v="150"/>
    <n v="750"/>
    <n v="3800"/>
    <n v="2850"/>
    <n v="3.8"/>
    <n v="0.19736842105263158"/>
  </r>
  <r>
    <x v="11"/>
    <s v="North"/>
    <s v="Direct"/>
    <n v="3000"/>
    <n v="150"/>
    <n v="450"/>
    <n v="2300"/>
    <n v="2850"/>
    <n v="6.333333333333333"/>
    <n v="0.19565217391304349"/>
  </r>
  <r>
    <x v="11"/>
    <s v="South"/>
    <s v="Social"/>
    <n v="2600"/>
    <n v="130"/>
    <n v="650"/>
    <n v="3200"/>
    <n v="2470"/>
    <n v="3.8"/>
    <n v="0.203125"/>
  </r>
  <r>
    <x v="12"/>
    <s v="North"/>
    <s v="Direct"/>
    <n v="3100"/>
    <n v="155"/>
    <n v="480"/>
    <n v="2400"/>
    <n v="2945"/>
    <n v="6.135416666666667"/>
    <n v="0.2"/>
  </r>
  <r>
    <x v="12"/>
    <s v="South"/>
    <s v="Social"/>
    <n v="2700"/>
    <n v="135"/>
    <n v="680"/>
    <n v="3400"/>
    <n v="2565"/>
    <n v="3.7720588235294117"/>
    <n v="0.2"/>
  </r>
  <r>
    <x v="13"/>
    <s v="North"/>
    <s v="Direct"/>
    <n v="3250"/>
    <n v="162"/>
    <n v="500"/>
    <n v="2550"/>
    <n v="3088"/>
    <n v="6.1760000000000002"/>
    <n v="0.19607843137254902"/>
  </r>
  <r>
    <x v="13"/>
    <s v="South"/>
    <s v="Social"/>
    <n v="2850"/>
    <n v="142"/>
    <n v="700"/>
    <n v="3550"/>
    <n v="2708"/>
    <n v="3.8685714285714288"/>
    <n v="0.19718309859154928"/>
  </r>
  <r>
    <x v="14"/>
    <s v="North"/>
    <s v="Direct"/>
    <n v="3200"/>
    <n v="160"/>
    <n v="500"/>
    <n v="2500"/>
    <n v="3040"/>
    <n v="6.08"/>
    <n v="0.2"/>
  </r>
  <r>
    <x v="14"/>
    <s v="South"/>
    <s v="Social"/>
    <n v="2800"/>
    <n v="140"/>
    <n v="700"/>
    <n v="3500"/>
    <n v="2660"/>
    <n v="3.8"/>
    <n v="0.2"/>
  </r>
  <r>
    <x v="15"/>
    <s v="North"/>
    <s v="Direct"/>
    <n v="3150"/>
    <n v="150"/>
    <n v="480"/>
    <n v="2450"/>
    <n v="3000"/>
    <n v="6.25"/>
    <n v="0.19591836734693877"/>
  </r>
  <r>
    <x v="15"/>
    <s v="South"/>
    <s v="Social"/>
    <n v="2750"/>
    <n v="130"/>
    <n v="680"/>
    <n v="3400"/>
    <n v="2620"/>
    <n v="3.8529411764705883"/>
    <n v="0.2"/>
  </r>
  <r>
    <x v="16"/>
    <s v="North"/>
    <s v="Direct"/>
    <n v="3300"/>
    <n v="165"/>
    <n v="520"/>
    <n v="2600"/>
    <n v="3135"/>
    <n v="6.0288461538461542"/>
    <n v="0.2"/>
  </r>
  <r>
    <x v="16"/>
    <s v="South"/>
    <s v="Social"/>
    <n v="2900"/>
    <n v="145"/>
    <n v="720"/>
    <n v="3600"/>
    <n v="2755"/>
    <n v="3.8263888888888888"/>
    <n v="0.2"/>
  </r>
  <r>
    <x v="17"/>
    <s v="North"/>
    <s v="Direct"/>
    <n v="3400"/>
    <n v="170"/>
    <n v="550"/>
    <n v="2700"/>
    <n v="3230"/>
    <n v="5.872727272727273"/>
    <n v="0.20370370370370369"/>
  </r>
  <r>
    <x v="17"/>
    <s v="South"/>
    <s v="Social"/>
    <n v="3000"/>
    <n v="150"/>
    <n v="750"/>
    <n v="3800"/>
    <n v="2850"/>
    <n v="3.8"/>
    <n v="0.19736842105263158"/>
  </r>
  <r>
    <x v="18"/>
    <s v="North"/>
    <s v="Direct"/>
    <n v="3000"/>
    <n v="150"/>
    <n v="450"/>
    <n v="2300"/>
    <n v="2850"/>
    <n v="6.333333333333333"/>
    <n v="0.19565217391304349"/>
  </r>
  <r>
    <x v="18"/>
    <s v="South"/>
    <s v="Social"/>
    <n v="2600"/>
    <n v="130"/>
    <n v="650"/>
    <n v="3200"/>
    <n v="2470"/>
    <n v="3.8"/>
    <n v="0.203125"/>
  </r>
  <r>
    <x v="19"/>
    <s v="North"/>
    <s v="Direct"/>
    <n v="3100"/>
    <n v="155"/>
    <n v="480"/>
    <n v="2400"/>
    <n v="2945"/>
    <n v="6.135416666666667"/>
    <n v="0.2"/>
  </r>
  <r>
    <x v="19"/>
    <s v="South"/>
    <s v="Social"/>
    <n v="2700"/>
    <n v="135"/>
    <n v="680"/>
    <n v="3400"/>
    <n v="2565"/>
    <n v="3.7720588235294117"/>
    <n v="0.2"/>
  </r>
  <r>
    <x v="20"/>
    <s v="North"/>
    <s v="Direct"/>
    <n v="3250"/>
    <n v="162"/>
    <n v="500"/>
    <n v="2550"/>
    <n v="3088"/>
    <n v="6.1760000000000002"/>
    <n v="0.19607843137254902"/>
  </r>
  <r>
    <x v="20"/>
    <s v="South"/>
    <s v="Social"/>
    <n v="2850"/>
    <n v="142"/>
    <n v="700"/>
    <n v="3550"/>
    <n v="2708"/>
    <n v="3.8685714285714288"/>
    <n v="0.19718309859154928"/>
  </r>
  <r>
    <x v="21"/>
    <s v="North"/>
    <s v="Direct"/>
    <n v="3200"/>
    <n v="160"/>
    <n v="500"/>
    <n v="2500"/>
    <n v="3040"/>
    <n v="6.08"/>
    <n v="0.2"/>
  </r>
  <r>
    <x v="21"/>
    <s v="South"/>
    <s v="Social"/>
    <n v="2800"/>
    <n v="140"/>
    <n v="700"/>
    <n v="3500"/>
    <n v="2660"/>
    <n v="3.8"/>
    <n v="0.2"/>
  </r>
  <r>
    <x v="22"/>
    <s v="North"/>
    <s v="Direct"/>
    <n v="3150"/>
    <n v="150"/>
    <n v="480"/>
    <n v="2450"/>
    <n v="3000"/>
    <n v="6.25"/>
    <n v="0.19591836734693877"/>
  </r>
  <r>
    <x v="22"/>
    <s v="South"/>
    <s v="Social"/>
    <n v="2750"/>
    <n v="130"/>
    <n v="680"/>
    <n v="3400"/>
    <n v="2620"/>
    <n v="3.8529411764705883"/>
    <n v="0.2"/>
  </r>
  <r>
    <x v="23"/>
    <s v="North"/>
    <s v="Direct"/>
    <n v="3300"/>
    <n v="165"/>
    <n v="520"/>
    <n v="2600"/>
    <n v="3135"/>
    <n v="6.0288461538461542"/>
    <n v="0.2"/>
  </r>
  <r>
    <x v="23"/>
    <s v="South"/>
    <s v="Social"/>
    <n v="2900"/>
    <n v="145"/>
    <n v="720"/>
    <n v="3600"/>
    <n v="2755"/>
    <n v="3.8263888888888888"/>
    <n v="0.2"/>
  </r>
  <r>
    <x v="24"/>
    <s v="North"/>
    <s v="Direct"/>
    <n v="3400"/>
    <n v="170"/>
    <n v="550"/>
    <n v="2700"/>
    <n v="3230"/>
    <n v="5.872727272727273"/>
    <n v="0.20370370370370369"/>
  </r>
  <r>
    <x v="24"/>
    <s v="South"/>
    <s v="Social"/>
    <n v="3000"/>
    <n v="150"/>
    <n v="750"/>
    <n v="3800"/>
    <n v="2850"/>
    <n v="3.8"/>
    <n v="0.19736842105263158"/>
  </r>
  <r>
    <x v="25"/>
    <s v="North"/>
    <s v="Direct"/>
    <n v="3000"/>
    <n v="150"/>
    <n v="450"/>
    <n v="2300"/>
    <n v="2850"/>
    <n v="6.333333333333333"/>
    <n v="0.19565217391304349"/>
  </r>
  <r>
    <x v="25"/>
    <s v="South"/>
    <s v="Social"/>
    <n v="2600"/>
    <n v="130"/>
    <n v="650"/>
    <n v="3200"/>
    <n v="2470"/>
    <n v="3.8"/>
    <n v="0.203125"/>
  </r>
  <r>
    <x v="26"/>
    <s v="North"/>
    <s v="Direct"/>
    <n v="3100"/>
    <n v="155"/>
    <n v="480"/>
    <n v="2400"/>
    <n v="2945"/>
    <n v="6.135416666666667"/>
    <n v="0.2"/>
  </r>
  <r>
    <x v="26"/>
    <s v="South"/>
    <s v="Social"/>
    <n v="2700"/>
    <n v="135"/>
    <n v="680"/>
    <n v="3400"/>
    <n v="2565"/>
    <n v="3.7720588235294117"/>
    <n v="0.2"/>
  </r>
  <r>
    <x v="27"/>
    <s v="North"/>
    <s v="Direct"/>
    <n v="3250"/>
    <n v="162"/>
    <n v="500"/>
    <n v="2550"/>
    <n v="3088"/>
    <n v="6.1760000000000002"/>
    <n v="0.19607843137254902"/>
  </r>
  <r>
    <x v="27"/>
    <s v="South"/>
    <s v="Social"/>
    <n v="2850"/>
    <n v="142"/>
    <n v="700"/>
    <n v="3550"/>
    <n v="2708"/>
    <n v="3.8685714285714288"/>
    <n v="0.19718309859154928"/>
  </r>
  <r>
    <x v="28"/>
    <s v="North"/>
    <s v="Direct"/>
    <n v="3200"/>
    <n v="160"/>
    <n v="500"/>
    <n v="2500"/>
    <n v="3040"/>
    <n v="6.08"/>
    <n v="0.2"/>
  </r>
  <r>
    <x v="28"/>
    <s v="South"/>
    <s v="Social"/>
    <n v="2800"/>
    <n v="140"/>
    <n v="700"/>
    <n v="3500"/>
    <n v="2660"/>
    <n v="3.8"/>
    <n v="0.2"/>
  </r>
  <r>
    <x v="29"/>
    <s v="North"/>
    <s v="Direct"/>
    <n v="3150"/>
    <n v="150"/>
    <n v="480"/>
    <n v="2450"/>
    <n v="3000"/>
    <n v="6.25"/>
    <n v="0.19591836734693877"/>
  </r>
  <r>
    <x v="29"/>
    <s v="South"/>
    <s v="Social"/>
    <n v="2750"/>
    <n v="130"/>
    <n v="680"/>
    <n v="3400"/>
    <n v="2620"/>
    <n v="3.8529411764705883"/>
    <n v="0.2"/>
  </r>
  <r>
    <x v="30"/>
    <s v="North"/>
    <s v="Direct"/>
    <n v="3300"/>
    <n v="165"/>
    <n v="520"/>
    <n v="2600"/>
    <n v="3135"/>
    <n v="6.0288461538461542"/>
    <n v="0.2"/>
  </r>
  <r>
    <x v="30"/>
    <s v="South"/>
    <s v="Social"/>
    <n v="2900"/>
    <n v="145"/>
    <n v="720"/>
    <n v="3600"/>
    <n v="2755"/>
    <n v="3.8263888888888888"/>
    <n v="0.2"/>
  </r>
  <r>
    <x v="31"/>
    <s v="North"/>
    <s v="Direct"/>
    <n v="3500"/>
    <n v="175"/>
    <n v="500"/>
    <n v="2600"/>
    <n v="3325"/>
    <n v="6.65"/>
    <n v="0.19230769230769232"/>
  </r>
  <r>
    <x v="31"/>
    <s v="South"/>
    <s v="Social"/>
    <n v="3100"/>
    <n v="155"/>
    <n v="750"/>
    <n v="3700"/>
    <n v="2945"/>
    <n v="3.9266666666666667"/>
    <n v="0.20270270270270271"/>
  </r>
  <r>
    <x v="32"/>
    <s v="North"/>
    <s v="Direct"/>
    <n v="3550"/>
    <n v="177"/>
    <n v="510"/>
    <n v="2650"/>
    <n v="3373"/>
    <n v="6.613725490196078"/>
    <n v="0.19245283018867926"/>
  </r>
  <r>
    <x v="32"/>
    <s v="South"/>
    <s v="Social"/>
    <n v="3150"/>
    <n v="157"/>
    <n v="760"/>
    <n v="3750"/>
    <n v="2993"/>
    <n v="3.9381578947368423"/>
    <n v="0.20266666666666666"/>
  </r>
  <r>
    <x v="33"/>
    <s v="North"/>
    <s v="Direct"/>
    <n v="3600"/>
    <n v="180"/>
    <n v="520"/>
    <n v="2700"/>
    <n v="3420"/>
    <n v="6.5769230769230766"/>
    <n v="0.19259259259259259"/>
  </r>
  <r>
    <x v="33"/>
    <s v="South"/>
    <s v="Social"/>
    <n v="3200"/>
    <n v="160"/>
    <n v="770"/>
    <n v="3800"/>
    <n v="3040"/>
    <n v="3.948051948051948"/>
    <n v="0.20263157894736841"/>
  </r>
  <r>
    <x v="34"/>
    <s v="North"/>
    <s v="Direct"/>
    <n v="3650"/>
    <n v="182"/>
    <n v="530"/>
    <n v="2750"/>
    <n v="3468"/>
    <n v="6.5433962264150942"/>
    <n v="0.19272727272727272"/>
  </r>
  <r>
    <x v="34"/>
    <s v="South"/>
    <s v="Social"/>
    <n v="3250"/>
    <n v="162"/>
    <n v="780"/>
    <n v="3850"/>
    <n v="3088"/>
    <n v="3.9589743589743591"/>
    <n v="0.20259740259740261"/>
  </r>
  <r>
    <x v="35"/>
    <s v="North"/>
    <s v="Direct"/>
    <n v="3700"/>
    <n v="185"/>
    <n v="540"/>
    <n v="2800"/>
    <n v="3515"/>
    <n v="6.5092592592592595"/>
    <n v="0.19285714285714287"/>
  </r>
  <r>
    <x v="35"/>
    <s v="South"/>
    <s v="Social"/>
    <n v="3300"/>
    <n v="165"/>
    <n v="790"/>
    <n v="3900"/>
    <n v="3135"/>
    <n v="3.9683544303797467"/>
    <n v="0.20256410256410257"/>
  </r>
  <r>
    <x v="36"/>
    <s v="North"/>
    <s v="Direct"/>
    <n v="3750"/>
    <n v="187"/>
    <n v="550"/>
    <n v="2850"/>
    <n v="3563"/>
    <n v="6.4781818181818185"/>
    <n v="0.19298245614035087"/>
  </r>
  <r>
    <x v="36"/>
    <s v="South"/>
    <s v="Social"/>
    <n v="3350"/>
    <n v="167"/>
    <n v="800"/>
    <n v="3950"/>
    <n v="3183"/>
    <n v="3.9787499999999998"/>
    <n v="0.20253164556962025"/>
  </r>
  <r>
    <x v="37"/>
    <s v="North"/>
    <s v="Direct"/>
    <n v="3800"/>
    <n v="190"/>
    <n v="560"/>
    <n v="2900"/>
    <n v="3610"/>
    <n v="6.4464285714285712"/>
    <n v="0.19310344827586207"/>
  </r>
  <r>
    <x v="37"/>
    <s v="South"/>
    <s v="Social"/>
    <n v="3400"/>
    <n v="170"/>
    <n v="810"/>
    <n v="4000"/>
    <n v="3230"/>
    <n v="3.9876543209876543"/>
    <n v="0.20250000000000001"/>
  </r>
  <r>
    <x v="38"/>
    <s v="North"/>
    <s v="Direct"/>
    <n v="3850"/>
    <n v="192"/>
    <n v="570"/>
    <n v="2950"/>
    <n v="3658"/>
    <n v="6.4175438596491228"/>
    <n v="0.19322033898305085"/>
  </r>
  <r>
    <x v="38"/>
    <s v="South"/>
    <s v="Social"/>
    <n v="3450"/>
    <n v="172"/>
    <n v="820"/>
    <n v="4050"/>
    <n v="3278"/>
    <n v="3.9975609756097561"/>
    <n v="0.20246913580246914"/>
  </r>
  <r>
    <x v="39"/>
    <s v="North"/>
    <s v="Direct"/>
    <n v="3900"/>
    <n v="195"/>
    <n v="580"/>
    <n v="3000"/>
    <n v="3705"/>
    <n v="6.3879310344827589"/>
    <n v="0.19333333333333333"/>
  </r>
  <r>
    <x v="39"/>
    <s v="South"/>
    <s v="Social"/>
    <n v="3500"/>
    <n v="175"/>
    <n v="830"/>
    <n v="4100"/>
    <n v="3325"/>
    <n v="4.0060240963855422"/>
    <n v="0.20243902439024392"/>
  </r>
  <r>
    <x v="40"/>
    <s v="North"/>
    <s v="Direct"/>
    <n v="3950"/>
    <n v="197"/>
    <n v="590"/>
    <n v="3050"/>
    <n v="3753"/>
    <n v="6.3610169491525426"/>
    <n v="0.19344262295081968"/>
  </r>
  <r>
    <x v="40"/>
    <s v="South"/>
    <s v="Social"/>
    <n v="3550"/>
    <n v="177"/>
    <n v="840"/>
    <n v="4150"/>
    <n v="3373"/>
    <n v="4.0154761904761909"/>
    <n v="0.20240963855421687"/>
  </r>
  <r>
    <x v="41"/>
    <s v="North"/>
    <s v="Direct"/>
    <n v="4000"/>
    <n v="200"/>
    <n v="600"/>
    <n v="3100"/>
    <n v="3800"/>
    <n v="6.333333333333333"/>
    <n v="0.19354838709677419"/>
  </r>
  <r>
    <x v="41"/>
    <s v="South"/>
    <s v="Social"/>
    <n v="3600"/>
    <n v="180"/>
    <n v="850"/>
    <n v="4200"/>
    <n v="3420"/>
    <n v="4.0235294117647058"/>
    <n v="0.20238095238095238"/>
  </r>
  <r>
    <x v="42"/>
    <s v="North"/>
    <s v="Direct"/>
    <n v="4050"/>
    <n v="202"/>
    <n v="610"/>
    <n v="3150"/>
    <n v="3848"/>
    <n v="6.3081967213114751"/>
    <n v="0.19365079365079366"/>
  </r>
  <r>
    <x v="42"/>
    <s v="South"/>
    <s v="Social"/>
    <n v="3650"/>
    <n v="182"/>
    <n v="860"/>
    <n v="4250"/>
    <n v="3468"/>
    <n v="4.032558139534884"/>
    <n v="0.2023529411764706"/>
  </r>
  <r>
    <x v="43"/>
    <s v="North"/>
    <s v="Direct"/>
    <n v="4100"/>
    <n v="205"/>
    <n v="620"/>
    <n v="3200"/>
    <n v="3895"/>
    <n v="6.282258064516129"/>
    <n v="0.19375000000000001"/>
  </r>
  <r>
    <x v="43"/>
    <s v="South"/>
    <s v="Social"/>
    <n v="3700"/>
    <n v="185"/>
    <n v="870"/>
    <n v="4300"/>
    <n v="3515"/>
    <n v="4.0402298850574709"/>
    <n v="0.20232558139534884"/>
  </r>
  <r>
    <x v="44"/>
    <s v="North"/>
    <s v="Direct"/>
    <n v="4150"/>
    <n v="207"/>
    <n v="630"/>
    <n v="3250"/>
    <n v="3943"/>
    <n v="6.2587301587301587"/>
    <n v="0.19384615384615383"/>
  </r>
  <r>
    <x v="44"/>
    <s v="South"/>
    <s v="Social"/>
    <n v="3750"/>
    <n v="187"/>
    <n v="880"/>
    <n v="4350"/>
    <n v="3563"/>
    <n v="4.0488636363636363"/>
    <n v="0.20229885057471264"/>
  </r>
  <r>
    <x v="45"/>
    <s v="North"/>
    <s v="Direct"/>
    <n v="4200"/>
    <n v="210"/>
    <n v="640"/>
    <n v="3300"/>
    <n v="3990"/>
    <n v="6.234375"/>
    <n v="0.19393939393939394"/>
  </r>
  <r>
    <x v="45"/>
    <s v="South"/>
    <s v="Social"/>
    <n v="3800"/>
    <n v="190"/>
    <n v="890"/>
    <n v="4400"/>
    <n v="3610"/>
    <n v="4.0561797752808992"/>
    <n v="0.20227272727272727"/>
  </r>
  <r>
    <x v="46"/>
    <s v="North"/>
    <s v="Direct"/>
    <n v="4250"/>
    <n v="212"/>
    <n v="650"/>
    <n v="3350"/>
    <n v="4038"/>
    <n v="6.2123076923076921"/>
    <n v="0.19402985074626866"/>
  </r>
  <r>
    <x v="46"/>
    <s v="South"/>
    <s v="Social"/>
    <n v="3850"/>
    <n v="192"/>
    <n v="900"/>
    <n v="4450"/>
    <n v="3658"/>
    <n v="4.0644444444444447"/>
    <n v="0.20224719101123595"/>
  </r>
  <r>
    <x v="47"/>
    <s v="North"/>
    <s v="Direct"/>
    <n v="4300"/>
    <n v="215"/>
    <n v="660"/>
    <n v="3400"/>
    <n v="4085"/>
    <n v="6.1893939393939394"/>
    <n v="0.19411764705882353"/>
  </r>
  <r>
    <x v="47"/>
    <s v="South"/>
    <s v="Social"/>
    <n v="3900"/>
    <n v="195"/>
    <n v="910"/>
    <n v="4500"/>
    <n v="3705"/>
    <n v="4.0714285714285712"/>
    <n v="0.20222222222222222"/>
  </r>
  <r>
    <x v="48"/>
    <s v="North"/>
    <s v="Direct"/>
    <n v="4350"/>
    <n v="217"/>
    <n v="670"/>
    <n v="3450"/>
    <n v="4133"/>
    <n v="6.1686567164179102"/>
    <n v="0.19420289855072465"/>
  </r>
  <r>
    <x v="48"/>
    <s v="South"/>
    <s v="Social"/>
    <n v="3950"/>
    <n v="197"/>
    <n v="920"/>
    <n v="4550"/>
    <n v="3753"/>
    <n v="4.0793478260869565"/>
    <n v="0.2021978021978022"/>
  </r>
  <r>
    <x v="49"/>
    <s v="North"/>
    <s v="Direct"/>
    <n v="4400"/>
    <n v="220"/>
    <n v="680"/>
    <n v="3500"/>
    <n v="4180"/>
    <n v="6.1470588235294121"/>
    <n v="0.19428571428571428"/>
  </r>
  <r>
    <x v="49"/>
    <s v="South"/>
    <s v="Social"/>
    <n v="4000"/>
    <n v="200"/>
    <n v="930"/>
    <n v="4600"/>
    <n v="3800"/>
    <n v="4.086021505376344"/>
    <n v="0.20217391304347826"/>
  </r>
  <r>
    <x v="50"/>
    <s v="North"/>
    <s v="Direct"/>
    <n v="4450"/>
    <n v="222"/>
    <n v="690"/>
    <n v="3550"/>
    <n v="4228"/>
    <n v="6.1275362318840578"/>
    <n v="0.19436619718309858"/>
  </r>
  <r>
    <x v="50"/>
    <s v="South"/>
    <s v="Social"/>
    <n v="4050"/>
    <n v="202"/>
    <n v="940"/>
    <n v="4650"/>
    <n v="3848"/>
    <n v="4.0936170212765957"/>
    <n v="0.2021505376344086"/>
  </r>
  <r>
    <x v="51"/>
    <s v="North"/>
    <s v="Direct"/>
    <n v="4500"/>
    <n v="225"/>
    <n v="700"/>
    <n v="3600"/>
    <n v="4275"/>
    <n v="6.1071428571428568"/>
    <n v="0.19444444444444445"/>
  </r>
  <r>
    <x v="51"/>
    <s v="South"/>
    <s v="Social"/>
    <n v="4100"/>
    <n v="205"/>
    <n v="950"/>
    <n v="4700"/>
    <n v="3895"/>
    <n v="4.0999999999999996"/>
    <n v="0.20212765957446807"/>
  </r>
  <r>
    <x v="52"/>
    <s v="North"/>
    <s v="Direct"/>
    <n v="4550"/>
    <n v="227"/>
    <n v="710"/>
    <n v="3650"/>
    <n v="4323"/>
    <n v="6.0887323943661968"/>
    <n v="0.19452054794520549"/>
  </r>
  <r>
    <x v="52"/>
    <s v="South"/>
    <s v="Social"/>
    <n v="4150"/>
    <n v="207"/>
    <n v="960"/>
    <n v="4750"/>
    <n v="3943"/>
    <n v="4.1072916666666668"/>
    <n v="0.20210526315789473"/>
  </r>
  <r>
    <x v="53"/>
    <s v="North"/>
    <s v="Direct"/>
    <n v="4600"/>
    <n v="230"/>
    <n v="720"/>
    <n v="3700"/>
    <n v="4370"/>
    <n v="6.0694444444444446"/>
    <n v="0.19459459459459461"/>
  </r>
  <r>
    <x v="53"/>
    <s v="South"/>
    <s v="Social"/>
    <n v="4200"/>
    <n v="210"/>
    <n v="970"/>
    <n v="4800"/>
    <n v="3990"/>
    <n v="4.1134020618556697"/>
    <n v="0.20208333333333334"/>
  </r>
  <r>
    <x v="54"/>
    <s v="North"/>
    <s v="Direct"/>
    <n v="4650"/>
    <n v="232"/>
    <n v="730"/>
    <n v="3750"/>
    <n v="4418"/>
    <n v="6.0520547945205481"/>
    <n v="0.19466666666666665"/>
  </r>
  <r>
    <x v="54"/>
    <s v="South"/>
    <s v="Social"/>
    <n v="4250"/>
    <n v="212"/>
    <n v="980"/>
    <n v="4850"/>
    <n v="4038"/>
    <n v="4.1204081632653065"/>
    <n v="0.2020618556701031"/>
  </r>
  <r>
    <x v="55"/>
    <s v="North"/>
    <s v="Direct"/>
    <n v="4700"/>
    <n v="235"/>
    <n v="740"/>
    <n v="3800"/>
    <n v="4465"/>
    <n v="6.0337837837837842"/>
    <n v="0.19473684210526315"/>
  </r>
  <r>
    <x v="55"/>
    <s v="South"/>
    <s v="Social"/>
    <n v="4300"/>
    <n v="215"/>
    <n v="990"/>
    <n v="4900"/>
    <n v="4085"/>
    <n v="4.1262626262626263"/>
    <n v="0.20204081632653062"/>
  </r>
  <r>
    <x v="56"/>
    <s v="North"/>
    <s v="Direct"/>
    <n v="4750"/>
    <n v="237"/>
    <n v="750"/>
    <n v="3850"/>
    <n v="4513"/>
    <n v="6.0173333333333332"/>
    <n v="0.19480519480519481"/>
  </r>
  <r>
    <x v="56"/>
    <s v="South"/>
    <s v="Social"/>
    <n v="4350"/>
    <n v="217"/>
    <n v="1000"/>
    <n v="4950"/>
    <n v="4133"/>
    <n v="4.133"/>
    <n v="0.20202020202020202"/>
  </r>
  <r>
    <x v="57"/>
    <s v="North"/>
    <s v="Direct"/>
    <n v="4800"/>
    <n v="240"/>
    <n v="760"/>
    <n v="3900"/>
    <n v="4560"/>
    <n v="6"/>
    <n v="0.19487179487179487"/>
  </r>
  <r>
    <x v="57"/>
    <s v="South"/>
    <s v="Social"/>
    <n v="4400"/>
    <n v="220"/>
    <n v="1010"/>
    <n v="5000"/>
    <n v="4180"/>
    <n v="4.1386138613861387"/>
    <n v="0.20200000000000001"/>
  </r>
  <r>
    <x v="58"/>
    <s v="North"/>
    <s v="Direct"/>
    <n v="4850"/>
    <n v="242"/>
    <n v="770"/>
    <n v="3950"/>
    <n v="4608"/>
    <n v="5.9844155844155846"/>
    <n v="0.19493670886075951"/>
  </r>
  <r>
    <x v="58"/>
    <s v="South"/>
    <s v="Social"/>
    <n v="4450"/>
    <n v="222"/>
    <n v="1020"/>
    <n v="5050"/>
    <n v="4228"/>
    <n v="4.1450980392156866"/>
    <n v="0.20198019801980199"/>
  </r>
  <r>
    <x v="59"/>
    <s v="North"/>
    <s v="Direct"/>
    <n v="4900"/>
    <n v="245"/>
    <n v="780"/>
    <n v="4000"/>
    <n v="4655"/>
    <n v="5.9679487179487181"/>
    <n v="0.19500000000000001"/>
  </r>
  <r>
    <x v="59"/>
    <s v="South"/>
    <s v="Social"/>
    <n v="4500"/>
    <n v="225"/>
    <n v="1030"/>
    <n v="5100"/>
    <n v="4275"/>
    <n v="4.150485436893204"/>
    <n v="0.20196078431372549"/>
  </r>
  <r>
    <x v="60"/>
    <s v="North"/>
    <s v="Direct"/>
    <n v="4950"/>
    <n v="247"/>
    <n v="790"/>
    <n v="4050"/>
    <n v="4703"/>
    <n v="5.9531645569620251"/>
    <n v="0.19506172839506172"/>
  </r>
  <r>
    <x v="60"/>
    <s v="South"/>
    <s v="Social"/>
    <n v="4550"/>
    <n v="227"/>
    <n v="1040"/>
    <n v="5150"/>
    <n v="4323"/>
    <n v="4.1567307692307693"/>
    <n v="0.20194174757281552"/>
  </r>
  <r>
    <x v="61"/>
    <s v="North"/>
    <s v="Direct"/>
    <n v="5000"/>
    <n v="250"/>
    <n v="800"/>
    <n v="4100"/>
    <n v="4750"/>
    <n v="5.9375"/>
    <n v="0.1951219512195122"/>
  </r>
  <r>
    <x v="61"/>
    <s v="South"/>
    <s v="Social"/>
    <n v="4600"/>
    <n v="230"/>
    <n v="1050"/>
    <n v="5200"/>
    <n v="4370"/>
    <n v="4.1619047619047622"/>
    <n v="0.20192307692307693"/>
  </r>
  <r>
    <x v="62"/>
    <s v="North"/>
    <s v="Direct"/>
    <n v="5050"/>
    <n v="252"/>
    <n v="810"/>
    <n v="4150"/>
    <n v="4798"/>
    <n v="5.9234567901234572"/>
    <n v="0.19518072289156627"/>
  </r>
  <r>
    <x v="62"/>
    <s v="South"/>
    <s v="Social"/>
    <n v="4650"/>
    <n v="232"/>
    <n v="1060"/>
    <n v="5250"/>
    <n v="4418"/>
    <n v="4.1679245283018869"/>
    <n v="0.20190476190476189"/>
  </r>
  <r>
    <x v="63"/>
    <s v="North"/>
    <s v="Direct"/>
    <n v="5100"/>
    <n v="255"/>
    <n v="820"/>
    <n v="4200"/>
    <n v="4845"/>
    <n v="5.9085365853658534"/>
    <n v="0.19523809523809524"/>
  </r>
  <r>
    <x v="63"/>
    <s v="South"/>
    <s v="Social"/>
    <n v="4700"/>
    <n v="235"/>
    <n v="1070"/>
    <n v="5300"/>
    <n v="4465"/>
    <n v="4.1728971962616823"/>
    <n v="0.2018867924528302"/>
  </r>
  <r>
    <x v="64"/>
    <s v="North"/>
    <s v="Direct"/>
    <n v="5150"/>
    <n v="257"/>
    <n v="830"/>
    <n v="4250"/>
    <n v="4893"/>
    <n v="5.895180722891566"/>
    <n v="0.19529411764705881"/>
  </r>
  <r>
    <x v="64"/>
    <s v="South"/>
    <s v="Social"/>
    <n v="4750"/>
    <n v="237"/>
    <n v="1080"/>
    <n v="5350"/>
    <n v="4513"/>
    <n v="4.1787037037037038"/>
    <n v="0.20186915887850468"/>
  </r>
  <r>
    <x v="65"/>
    <s v="North"/>
    <s v="Direct"/>
    <n v="5200"/>
    <n v="260"/>
    <n v="840"/>
    <n v="4300"/>
    <n v="4940"/>
    <n v="5.8809523809523814"/>
    <n v="0.19534883720930232"/>
  </r>
  <r>
    <x v="65"/>
    <s v="South"/>
    <s v="Social"/>
    <n v="4800"/>
    <n v="240"/>
    <n v="1090"/>
    <n v="5400"/>
    <n v="4560"/>
    <n v="4.1834862385321099"/>
    <n v="0.20185185185185187"/>
  </r>
  <r>
    <x v="66"/>
    <s v="North"/>
    <s v="Direct"/>
    <n v="5250"/>
    <n v="262"/>
    <n v="850"/>
    <n v="4350"/>
    <n v="4988"/>
    <n v="5.868235294117647"/>
    <n v="0.19540229885057472"/>
  </r>
  <r>
    <x v="66"/>
    <s v="South"/>
    <s v="Social"/>
    <n v="4850"/>
    <n v="242"/>
    <n v="1100"/>
    <n v="5450"/>
    <n v="4608"/>
    <n v="4.1890909090909094"/>
    <n v="0.20183486238532111"/>
  </r>
  <r>
    <x v="67"/>
    <s v="North"/>
    <s v="Direct"/>
    <n v="5300"/>
    <n v="265"/>
    <n v="860"/>
    <n v="4400"/>
    <n v="5035"/>
    <n v="5.8546511627906979"/>
    <n v="0.19545454545454546"/>
  </r>
  <r>
    <x v="67"/>
    <s v="South"/>
    <s v="Social"/>
    <n v="4900"/>
    <n v="245"/>
    <n v="1110"/>
    <n v="5500"/>
    <n v="4655"/>
    <n v="4.1936936936936933"/>
    <n v="0.20181818181818181"/>
  </r>
  <r>
    <x v="68"/>
    <s v="North"/>
    <s v="Direct"/>
    <n v="5350"/>
    <n v="267"/>
    <n v="870"/>
    <n v="4450"/>
    <n v="5083"/>
    <n v="5.8425287356321842"/>
    <n v="0.19550561797752808"/>
  </r>
  <r>
    <x v="68"/>
    <s v="South"/>
    <s v="Social"/>
    <n v="4950"/>
    <n v="247"/>
    <n v="1120"/>
    <n v="5550"/>
    <n v="4703"/>
    <n v="4.1991071428571427"/>
    <n v="0.20180180180180179"/>
  </r>
  <r>
    <x v="69"/>
    <s v="North"/>
    <s v="Direct"/>
    <n v="5400"/>
    <n v="270"/>
    <n v="880"/>
    <n v="4500"/>
    <n v="5130"/>
    <n v="5.8295454545454541"/>
    <n v="0.19555555555555557"/>
  </r>
  <r>
    <x v="69"/>
    <s v="South"/>
    <s v="Social"/>
    <n v="5000"/>
    <n v="250"/>
    <n v="1130"/>
    <n v="5600"/>
    <n v="4750"/>
    <n v="4.2035398230088497"/>
    <n v="0.20178571428571429"/>
  </r>
  <r>
    <x v="70"/>
    <s v="North"/>
    <s v="Direct"/>
    <n v="5450"/>
    <n v="272"/>
    <n v="890"/>
    <n v="4550"/>
    <n v="5178"/>
    <n v="5.8179775280898873"/>
    <n v="0.1956043956043956"/>
  </r>
  <r>
    <x v="70"/>
    <s v="South"/>
    <s v="Social"/>
    <n v="5050"/>
    <n v="252"/>
    <n v="1140"/>
    <n v="5650"/>
    <n v="4798"/>
    <n v="4.2087719298245618"/>
    <n v="0.20176991150442478"/>
  </r>
  <r>
    <x v="71"/>
    <s v="North"/>
    <s v="Direct"/>
    <n v="5500"/>
    <n v="275"/>
    <n v="900"/>
    <n v="4600"/>
    <n v="5225"/>
    <n v="5.8055555555555554"/>
    <n v="0.19565217391304349"/>
  </r>
  <r>
    <x v="71"/>
    <s v="South"/>
    <s v="Social"/>
    <n v="5100"/>
    <n v="255"/>
    <n v="1150"/>
    <n v="5700"/>
    <n v="4845"/>
    <n v="4.2130434782608699"/>
    <n v="0.20175438596491227"/>
  </r>
  <r>
    <x v="72"/>
    <s v="North"/>
    <s v="Direct"/>
    <n v="5550"/>
    <n v="277"/>
    <n v="910"/>
    <n v="4650"/>
    <n v="5273"/>
    <n v="5.7945054945054943"/>
    <n v="0.19569892473118281"/>
  </r>
  <r>
    <x v="72"/>
    <s v="South"/>
    <s v="Social"/>
    <n v="5150"/>
    <n v="257"/>
    <n v="1160"/>
    <n v="5750"/>
    <n v="4893"/>
    <n v="4.2181034482758619"/>
    <n v="0.20173913043478262"/>
  </r>
  <r>
    <x v="73"/>
    <s v="North"/>
    <s v="Direct"/>
    <n v="5600"/>
    <n v="280"/>
    <n v="920"/>
    <n v="4700"/>
    <n v="5320"/>
    <n v="5.7826086956521738"/>
    <n v="0.19574468085106383"/>
  </r>
  <r>
    <x v="73"/>
    <s v="South"/>
    <s v="Social"/>
    <n v="5200"/>
    <n v="260"/>
    <n v="1170"/>
    <n v="5800"/>
    <n v="4940"/>
    <n v="4.2222222222222223"/>
    <n v="0.20172413793103447"/>
  </r>
  <r>
    <x v="74"/>
    <s v="North"/>
    <s v="Direct"/>
    <n v="5650"/>
    <n v="282"/>
    <n v="930"/>
    <n v="4750"/>
    <n v="5368"/>
    <n v="5.7720430107526886"/>
    <n v="0.19578947368421051"/>
  </r>
  <r>
    <x v="74"/>
    <s v="South"/>
    <s v="Social"/>
    <n v="5250"/>
    <n v="262"/>
    <n v="1180"/>
    <n v="5850"/>
    <n v="4988"/>
    <n v="4.2271186440677964"/>
    <n v="0.20170940170940171"/>
  </r>
  <r>
    <x v="75"/>
    <s v="North"/>
    <s v="Direct"/>
    <n v="5700"/>
    <n v="285"/>
    <n v="940"/>
    <n v="4800"/>
    <n v="5415"/>
    <n v="5.7606382978723403"/>
    <n v="0.19583333333333333"/>
  </r>
  <r>
    <x v="75"/>
    <s v="South"/>
    <s v="Social"/>
    <n v="5300"/>
    <n v="265"/>
    <n v="1190"/>
    <n v="5900"/>
    <n v="5035"/>
    <n v="4.23109243697479"/>
    <n v="0.2016949152542373"/>
  </r>
  <r>
    <x v="76"/>
    <s v="North"/>
    <s v="Direct"/>
    <n v="5750"/>
    <n v="287"/>
    <n v="950"/>
    <n v="4850"/>
    <n v="5463"/>
    <n v="5.7505263157894735"/>
    <n v="0.19587628865979381"/>
  </r>
  <r>
    <x v="76"/>
    <s v="South"/>
    <s v="Social"/>
    <n v="5350"/>
    <n v="267"/>
    <n v="1200"/>
    <n v="5950"/>
    <n v="5083"/>
    <n v="4.2358333333333329"/>
    <n v="0.20168067226890757"/>
  </r>
  <r>
    <x v="77"/>
    <s v="North"/>
    <s v="Direct"/>
    <n v="5800"/>
    <n v="290"/>
    <n v="960"/>
    <n v="4900"/>
    <n v="5510"/>
    <n v="5.739583333333333"/>
    <n v="0.19591836734693877"/>
  </r>
  <r>
    <x v="77"/>
    <s v="South"/>
    <s v="Social"/>
    <n v="5400"/>
    <n v="270"/>
    <n v="1210"/>
    <n v="6000"/>
    <n v="5130"/>
    <n v="4.2396694214876032"/>
    <n v="0.20166666666666666"/>
  </r>
  <r>
    <x v="78"/>
    <s v="North"/>
    <s v="Direct"/>
    <n v="5850"/>
    <n v="292"/>
    <n v="970"/>
    <n v="4950"/>
    <n v="5558"/>
    <n v="5.7298969072164949"/>
    <n v="0.19595959595959597"/>
  </r>
  <r>
    <x v="78"/>
    <s v="South"/>
    <s v="Social"/>
    <n v="5450"/>
    <n v="272"/>
    <n v="1220"/>
    <n v="6050"/>
    <n v="5178"/>
    <n v="4.2442622950819668"/>
    <n v="0.20165289256198346"/>
  </r>
  <r>
    <x v="79"/>
    <s v="North"/>
    <s v="Direct"/>
    <n v="5900"/>
    <n v="295"/>
    <n v="980"/>
    <n v="5000"/>
    <n v="5605"/>
    <n v="5.7193877551020407"/>
    <n v="0.19600000000000001"/>
  </r>
  <r>
    <x v="79"/>
    <s v="South"/>
    <s v="Social"/>
    <n v="5500"/>
    <n v="275"/>
    <n v="1230"/>
    <n v="6100"/>
    <n v="5225"/>
    <n v="4.2479674796747968"/>
    <n v="0.20163934426229507"/>
  </r>
  <r>
    <x v="80"/>
    <s v="North"/>
    <s v="Direct"/>
    <n v="5950"/>
    <n v="297"/>
    <n v="990"/>
    <n v="5050"/>
    <n v="5653"/>
    <n v="5.7101010101010097"/>
    <n v="0.19603960396039605"/>
  </r>
  <r>
    <x v="80"/>
    <s v="South"/>
    <s v="Social"/>
    <n v="5550"/>
    <n v="277"/>
    <n v="1240"/>
    <n v="6150"/>
    <n v="5273"/>
    <n v="4.2524193548387093"/>
    <n v="0.2016260162601626"/>
  </r>
  <r>
    <x v="81"/>
    <s v="North"/>
    <s v="Direct"/>
    <n v="6000"/>
    <n v="300"/>
    <n v="1000"/>
    <n v="5100"/>
    <n v="5700"/>
    <n v="5.7"/>
    <n v="0.19607843137254902"/>
  </r>
  <r>
    <x v="81"/>
    <s v="South"/>
    <s v="Social"/>
    <n v="5600"/>
    <n v="280"/>
    <n v="1250"/>
    <n v="6200"/>
    <n v="5320"/>
    <n v="4.2560000000000002"/>
    <n v="0.20161290322580644"/>
  </r>
  <r>
    <x v="82"/>
    <s v="North"/>
    <s v="Direct"/>
    <n v="6050"/>
    <n v="302"/>
    <n v="1010"/>
    <n v="5150"/>
    <n v="5748"/>
    <n v="5.6910891089108908"/>
    <n v="0.19611650485436893"/>
  </r>
  <r>
    <x v="82"/>
    <s v="South"/>
    <s v="Social"/>
    <n v="5650"/>
    <n v="282"/>
    <n v="1260"/>
    <n v="6250"/>
    <n v="5368"/>
    <n v="4.2603174603174603"/>
    <n v="0.2016"/>
  </r>
  <r>
    <x v="83"/>
    <s v="North"/>
    <s v="Direct"/>
    <n v="6100"/>
    <n v="305"/>
    <n v="1020"/>
    <n v="5200"/>
    <n v="5795"/>
    <n v="5.6813725490196081"/>
    <n v="0.19615384615384615"/>
  </r>
  <r>
    <x v="83"/>
    <s v="South"/>
    <s v="Social"/>
    <n v="5700"/>
    <n v="285"/>
    <n v="1270"/>
    <n v="6300"/>
    <n v="5415"/>
    <n v="4.2637795275590555"/>
    <n v="0.20158730158730159"/>
  </r>
  <r>
    <x v="84"/>
    <s v="North"/>
    <s v="Direct"/>
    <n v="6150"/>
    <n v="307"/>
    <n v="1030"/>
    <n v="5250"/>
    <n v="5843"/>
    <n v="5.6728155339805824"/>
    <n v="0.19619047619047619"/>
  </r>
  <r>
    <x v="84"/>
    <s v="South"/>
    <s v="Social"/>
    <n v="5750"/>
    <n v="287"/>
    <n v="1280"/>
    <n v="6350"/>
    <n v="5463"/>
    <n v="4.2679687499999996"/>
    <n v="0.2015748031496063"/>
  </r>
  <r>
    <x v="85"/>
    <s v="North"/>
    <s v="Direct"/>
    <n v="6200"/>
    <n v="310"/>
    <n v="1040"/>
    <n v="5300"/>
    <n v="5890"/>
    <n v="5.6634615384615383"/>
    <n v="0.19622641509433963"/>
  </r>
  <r>
    <x v="85"/>
    <s v="South"/>
    <s v="Social"/>
    <n v="5800"/>
    <n v="290"/>
    <n v="1290"/>
    <n v="6400"/>
    <n v="5510"/>
    <n v="4.2713178294573639"/>
    <n v="0.20156250000000001"/>
  </r>
  <r>
    <x v="86"/>
    <s v="North"/>
    <s v="Direct"/>
    <n v="6250"/>
    <n v="312"/>
    <n v="1050"/>
    <n v="5350"/>
    <n v="5938"/>
    <n v="5.6552380952380954"/>
    <n v="0.19626168224299065"/>
  </r>
  <r>
    <x v="86"/>
    <s v="South"/>
    <s v="Social"/>
    <n v="5850"/>
    <n v="292"/>
    <n v="1300"/>
    <n v="6450"/>
    <n v="5558"/>
    <n v="4.2753846153846151"/>
    <n v="0.20155038759689922"/>
  </r>
  <r>
    <x v="87"/>
    <s v="North"/>
    <s v="Direct"/>
    <n v="6300"/>
    <n v="315"/>
    <n v="1060"/>
    <n v="5400"/>
    <n v="5985"/>
    <n v="5.6462264150943398"/>
    <n v="0.1962962962962963"/>
  </r>
  <r>
    <x v="87"/>
    <s v="South"/>
    <s v="Social"/>
    <n v="5900"/>
    <n v="295"/>
    <n v="1310"/>
    <n v="6500"/>
    <n v="5605"/>
    <n v="4.278625954198473"/>
    <n v="0.20153846153846153"/>
  </r>
  <r>
    <x v="88"/>
    <s v="North"/>
    <s v="Direct"/>
    <n v="6350"/>
    <n v="317"/>
    <n v="1070"/>
    <n v="5450"/>
    <n v="6033"/>
    <n v="5.6383177570093457"/>
    <n v="0.19633027522935781"/>
  </r>
  <r>
    <x v="88"/>
    <s v="South"/>
    <s v="Social"/>
    <n v="5950"/>
    <n v="297"/>
    <n v="1320"/>
    <n v="6550"/>
    <n v="5653"/>
    <n v="4.2825757575757573"/>
    <n v="0.20152671755725191"/>
  </r>
  <r>
    <x v="89"/>
    <s v="North"/>
    <s v="Direct"/>
    <n v="6400"/>
    <n v="320"/>
    <n v="1080"/>
    <n v="5500"/>
    <n v="6080"/>
    <n v="5.6296296296296298"/>
    <n v="0.19636363636363635"/>
  </r>
  <r>
    <x v="89"/>
    <s v="South"/>
    <s v="Social"/>
    <n v="6000"/>
    <n v="300"/>
    <n v="1330"/>
    <n v="6600"/>
    <n v="5700"/>
    <n v="4.2857142857142856"/>
    <n v="0.20151515151515151"/>
  </r>
  <r>
    <x v="90"/>
    <s v="North"/>
    <s v="Direct"/>
    <n v="6500"/>
    <n v="325"/>
    <n v="1100"/>
    <n v="5600"/>
    <n v="6175"/>
    <n v="5.6136363636363633"/>
    <n v="0.19642857142857142"/>
  </r>
  <r>
    <x v="90"/>
    <s v="South"/>
    <s v="Social"/>
    <n v="6100"/>
    <n v="305"/>
    <n v="1400"/>
    <n v="6700"/>
    <n v="5795"/>
    <n v="4.1392857142857142"/>
    <n v="0.20895522388059701"/>
  </r>
  <r>
    <x v="91"/>
    <s v="North"/>
    <s v="Direct"/>
    <n v="6600"/>
    <n v="330"/>
    <n v="1150"/>
    <n v="5700"/>
    <n v="6270"/>
    <n v="5.4521739130434783"/>
    <n v="0.20175438596491227"/>
  </r>
  <r>
    <x v="91"/>
    <s v="South"/>
    <s v="Social"/>
    <n v="6200"/>
    <n v="310"/>
    <n v="1450"/>
    <n v="6800"/>
    <n v="5890"/>
    <n v="4.0620689655172413"/>
    <n v="0.21323529411764705"/>
  </r>
  <r>
    <x v="92"/>
    <s v="North"/>
    <s v="Direct"/>
    <n v="6700"/>
    <n v="335"/>
    <n v="1200"/>
    <n v="5800"/>
    <n v="6365"/>
    <n v="5.3041666666666663"/>
    <n v="0.20689655172413793"/>
  </r>
  <r>
    <x v="92"/>
    <s v="South"/>
    <s v="Social"/>
    <n v="6300"/>
    <n v="315"/>
    <n v="1500"/>
    <n v="6900"/>
    <n v="5985"/>
    <n v="3.99"/>
    <n v="0.21739130434782608"/>
  </r>
  <r>
    <x v="93"/>
    <s v="North"/>
    <s v="Direct"/>
    <n v="6800"/>
    <n v="340"/>
    <n v="1250"/>
    <n v="5900"/>
    <n v="6460"/>
    <n v="5.1680000000000001"/>
    <n v="0.21186440677966101"/>
  </r>
  <r>
    <x v="93"/>
    <s v="South"/>
    <s v="Social"/>
    <n v="6400"/>
    <n v="320"/>
    <n v="1550"/>
    <n v="7000"/>
    <n v="6080"/>
    <n v="3.9225806451612901"/>
    <n v="0.22142857142857142"/>
  </r>
  <r>
    <x v="94"/>
    <s v="North"/>
    <s v="Direct"/>
    <n v="7500"/>
    <n v="375"/>
    <n v="1800"/>
    <n v="8000"/>
    <n v="7125"/>
    <n v="3.9583333333333335"/>
    <n v="0.22500000000000001"/>
  </r>
  <r>
    <x v="94"/>
    <s v="South"/>
    <s v="Social"/>
    <n v="7100"/>
    <n v="355"/>
    <n v="2100"/>
    <n v="9100"/>
    <n v="6745"/>
    <n v="3.211904761904762"/>
    <n v="0.23076923076923078"/>
  </r>
  <r>
    <x v="95"/>
    <s v="North"/>
    <s v="Direct"/>
    <n v="8000"/>
    <n v="400"/>
    <n v="2200"/>
    <n v="10000"/>
    <n v="7600"/>
    <n v="3.4545454545454546"/>
    <n v="0.22"/>
  </r>
  <r>
    <x v="95"/>
    <s v="South"/>
    <s v="Social"/>
    <n v="7600"/>
    <n v="380"/>
    <n v="2500"/>
    <n v="11000"/>
    <n v="7220"/>
    <n v="2.8879999999999999"/>
    <n v="0.22727272727272727"/>
  </r>
  <r>
    <x v="96"/>
    <s v="North"/>
    <s v="Direct"/>
    <n v="8500"/>
    <n v="425"/>
    <n v="2500"/>
    <n v="12000"/>
    <n v="8075"/>
    <n v="3.23"/>
    <n v="0.20833333333333334"/>
  </r>
  <r>
    <x v="96"/>
    <s v="South"/>
    <s v="Social"/>
    <n v="8100"/>
    <n v="405"/>
    <n v="2800"/>
    <n v="13000"/>
    <n v="7695"/>
    <n v="2.7482142857142855"/>
    <n v="0.2153846153846154"/>
  </r>
  <r>
    <x v="97"/>
    <s v="North"/>
    <s v="Direct"/>
    <n v="9200"/>
    <n v="460"/>
    <n v="2800"/>
    <n v="13000"/>
    <n v="8740"/>
    <n v="3.1214285714285714"/>
    <n v="0.2153846153846154"/>
  </r>
  <r>
    <x v="97"/>
    <s v="South"/>
    <s v="Social"/>
    <n v="8800"/>
    <n v="440"/>
    <n v="3100"/>
    <n v="14500"/>
    <n v="8360"/>
    <n v="2.6967741935483871"/>
    <n v="0.21379310344827587"/>
  </r>
  <r>
    <x v="98"/>
    <s v="North"/>
    <s v="Direct"/>
    <n v="9500"/>
    <n v="475"/>
    <n v="3000"/>
    <n v="14000"/>
    <n v="9025"/>
    <n v="3.0083333333333333"/>
    <n v="0.21428571428571427"/>
  </r>
  <r>
    <x v="98"/>
    <s v="South"/>
    <s v="Social"/>
    <n v="9100"/>
    <n v="455"/>
    <n v="3300"/>
    <n v="15500"/>
    <n v="8645"/>
    <n v="2.6196969696969696"/>
    <n v="0.2129032258064516"/>
  </r>
  <r>
    <x v="99"/>
    <s v="North"/>
    <s v="Direct"/>
    <n v="10500"/>
    <n v="525"/>
    <n v="3500"/>
    <n v="15000"/>
    <n v="9975"/>
    <n v="2.85"/>
    <n v="0.23333333333333334"/>
  </r>
  <r>
    <x v="99"/>
    <s v="South"/>
    <s v="Social"/>
    <n v="9800"/>
    <n v="490"/>
    <n v="3800"/>
    <n v="16500"/>
    <n v="9310"/>
    <n v="2.4500000000000002"/>
    <n v="0.23030303030303031"/>
  </r>
  <r>
    <x v="100"/>
    <s v="North"/>
    <s v="Direct"/>
    <n v="11000"/>
    <n v="550"/>
    <n v="3600"/>
    <n v="15500"/>
    <n v="10450"/>
    <n v="2.9027777777777777"/>
    <n v="0.23225806451612904"/>
  </r>
  <r>
    <x v="100"/>
    <s v="South"/>
    <s v="Social"/>
    <n v="10200"/>
    <n v="510"/>
    <n v="4000"/>
    <n v="17000"/>
    <n v="9690"/>
    <n v="2.4224999999999999"/>
    <n v="0.23529411764705882"/>
  </r>
  <r>
    <x v="101"/>
    <s v="North"/>
    <s v="Direct"/>
    <n v="11500"/>
    <n v="575"/>
    <n v="3800"/>
    <n v="16000"/>
    <n v="10925"/>
    <n v="2.875"/>
    <n v="0.23749999999999999"/>
  </r>
  <r>
    <x v="101"/>
    <s v="South"/>
    <s v="Social"/>
    <n v="10500"/>
    <n v="525"/>
    <n v="4200"/>
    <n v="17500"/>
    <n v="9975"/>
    <n v="2.375"/>
    <n v="0.24"/>
  </r>
  <r>
    <x v="102"/>
    <s v="North"/>
    <s v="Direct"/>
    <n v="9000"/>
    <n v="450"/>
    <n v="3000"/>
    <n v="14000"/>
    <n v="8550"/>
    <n v="2.85"/>
    <n v="0.21428571428571427"/>
  </r>
  <r>
    <x v="102"/>
    <s v="South"/>
    <s v="Social"/>
    <n v="8500"/>
    <n v="425"/>
    <n v="3500"/>
    <n v="15000"/>
    <n v="8075"/>
    <n v="2.3071428571428569"/>
    <n v="0.23333333333333334"/>
  </r>
  <r>
    <x v="103"/>
    <s v="North"/>
    <s v="Direct"/>
    <n v="8000"/>
    <n v="400"/>
    <n v="2500"/>
    <n v="12000"/>
    <n v="7600"/>
    <n v="3.04"/>
    <n v="0.20833333333333334"/>
  </r>
  <r>
    <x v="103"/>
    <s v="South"/>
    <s v="Social"/>
    <n v="7500"/>
    <n v="375"/>
    <n v="3000"/>
    <n v="13000"/>
    <n v="7125"/>
    <n v="2.375"/>
    <n v="0.23076923076923078"/>
  </r>
  <r>
    <x v="104"/>
    <s v="North"/>
    <s v="Direct"/>
    <n v="7000"/>
    <n v="350"/>
    <n v="2000"/>
    <n v="10000"/>
    <n v="6650"/>
    <n v="3.3250000000000002"/>
    <n v="0.2"/>
  </r>
  <r>
    <x v="104"/>
    <s v="South"/>
    <s v="Social"/>
    <n v="6500"/>
    <n v="325"/>
    <n v="2500"/>
    <n v="11000"/>
    <n v="6175"/>
    <n v="2.4700000000000002"/>
    <n v="0.22727272727272727"/>
  </r>
  <r>
    <x v="105"/>
    <s v="North"/>
    <s v="Direct"/>
    <n v="6500"/>
    <n v="325"/>
    <n v="1500"/>
    <n v="8000"/>
    <n v="6175"/>
    <n v="4.1166666666666663"/>
    <n v="0.1875"/>
  </r>
  <r>
    <x v="105"/>
    <s v="South"/>
    <s v="Social"/>
    <n v="6100"/>
    <n v="305"/>
    <n v="2000"/>
    <n v="9000"/>
    <n v="5795"/>
    <n v="2.8975"/>
    <n v="0.22222222222222221"/>
  </r>
  <r>
    <x v="106"/>
    <s v="North"/>
    <s v="Direct"/>
    <n v="6000"/>
    <n v="300"/>
    <n v="1200"/>
    <n v="6000"/>
    <n v="5700"/>
    <n v="4.75"/>
    <n v="0.2"/>
  </r>
  <r>
    <x v="106"/>
    <s v="South"/>
    <s v="Social"/>
    <n v="5600"/>
    <n v="280"/>
    <n v="1500"/>
    <n v="7000"/>
    <n v="5320"/>
    <n v="3.5466666666666669"/>
    <n v="0.21428571428571427"/>
  </r>
  <r>
    <x v="107"/>
    <s v="North"/>
    <s v="Direct"/>
    <n v="5800"/>
    <n v="290"/>
    <n v="1100"/>
    <n v="5800"/>
    <n v="5510"/>
    <n v="5.0090909090909088"/>
    <n v="0.18965517241379309"/>
  </r>
  <r>
    <x v="107"/>
    <s v="South"/>
    <s v="Social"/>
    <n v="5400"/>
    <n v="270"/>
    <n v="1400"/>
    <n v="6800"/>
    <n v="5130"/>
    <n v="3.6642857142857141"/>
    <n v="0.20588235294117646"/>
  </r>
  <r>
    <x v="108"/>
    <s v="North"/>
    <s v="Direct"/>
    <n v="5700"/>
    <n v="285"/>
    <n v="1050"/>
    <n v="5700"/>
    <n v="5415"/>
    <n v="5.1571428571428575"/>
    <n v="0.18421052631578946"/>
  </r>
  <r>
    <x v="108"/>
    <s v="South"/>
    <s v="Social"/>
    <n v="5300"/>
    <n v="265"/>
    <n v="1350"/>
    <n v="6700"/>
    <n v="5035"/>
    <n v="3.7296296296296299"/>
    <n v="0.20149253731343283"/>
  </r>
  <r>
    <x v="109"/>
    <s v="North"/>
    <s v="Direct"/>
    <n v="5600"/>
    <n v="280"/>
    <n v="1000"/>
    <n v="5600"/>
    <n v="5320"/>
    <n v="5.32"/>
    <n v="0.17857142857142858"/>
  </r>
  <r>
    <x v="109"/>
    <s v="South"/>
    <s v="Social"/>
    <n v="5200"/>
    <n v="260"/>
    <n v="1300"/>
    <n v="6600"/>
    <n v="4940"/>
    <n v="3.8"/>
    <n v="0.19696969696969696"/>
  </r>
  <r>
    <x v="110"/>
    <s v="North"/>
    <s v="Direct"/>
    <n v="5500"/>
    <n v="275"/>
    <n v="980"/>
    <n v="5500"/>
    <n v="5225"/>
    <n v="5.3316326530612246"/>
    <n v="0.17818181818181819"/>
  </r>
  <r>
    <x v="110"/>
    <s v="South"/>
    <s v="Social"/>
    <n v="5100"/>
    <n v="255"/>
    <n v="1280"/>
    <n v="6500"/>
    <n v="4845"/>
    <n v="3.78515625"/>
    <n v="0.19692307692307692"/>
  </r>
  <r>
    <x v="111"/>
    <s v="North"/>
    <s v="Direct"/>
    <n v="5400"/>
    <n v="270"/>
    <n v="960"/>
    <n v="5400"/>
    <n v="5130"/>
    <n v="5.34375"/>
    <n v="0.17777777777777778"/>
  </r>
  <r>
    <x v="111"/>
    <s v="South"/>
    <s v="Social"/>
    <n v="5000"/>
    <n v="250"/>
    <n v="1260"/>
    <n v="6400"/>
    <n v="4750"/>
    <n v="3.7698412698412698"/>
    <n v="0.19687499999999999"/>
  </r>
  <r>
    <x v="112"/>
    <s v="North"/>
    <s v="Direct"/>
    <n v="5300"/>
    <n v="265"/>
    <n v="940"/>
    <n v="5300"/>
    <n v="5035"/>
    <n v="5.3563829787234045"/>
    <n v="0.17735849056603772"/>
  </r>
  <r>
    <x v="112"/>
    <s v="South"/>
    <s v="Social"/>
    <n v="4900"/>
    <n v="245"/>
    <n v="1240"/>
    <n v="6300"/>
    <n v="4655"/>
    <n v="3.754032258064516"/>
    <n v="0.19682539682539682"/>
  </r>
  <r>
    <x v="113"/>
    <s v="North"/>
    <s v="Direct"/>
    <n v="5200"/>
    <n v="260"/>
    <n v="920"/>
    <n v="5200"/>
    <n v="4940"/>
    <n v="5.3695652173913047"/>
    <n v="0.17692307692307693"/>
  </r>
  <r>
    <x v="113"/>
    <s v="South"/>
    <s v="Social"/>
    <n v="4800"/>
    <n v="240"/>
    <n v="1220"/>
    <n v="6200"/>
    <n v="4560"/>
    <n v="3.737704918032787"/>
    <n v="0.1967741935483871"/>
  </r>
  <r>
    <x v="114"/>
    <s v="North"/>
    <s v="Direct"/>
    <n v="5100"/>
    <n v="255"/>
    <n v="900"/>
    <n v="5100"/>
    <n v="4845"/>
    <n v="5.3833333333333337"/>
    <n v="0.17647058823529413"/>
  </r>
  <r>
    <x v="114"/>
    <s v="South"/>
    <s v="Social"/>
    <n v="4700"/>
    <n v="235"/>
    <n v="1200"/>
    <n v="6100"/>
    <n v="4465"/>
    <n v="3.7208333333333332"/>
    <n v="0.19672131147540983"/>
  </r>
  <r>
    <x v="115"/>
    <s v="North"/>
    <s v="Direct"/>
    <n v="5000"/>
    <n v="250"/>
    <n v="880"/>
    <n v="5000"/>
    <n v="4750"/>
    <n v="5.3977272727272725"/>
    <n v="0.17599999999999999"/>
  </r>
  <r>
    <x v="115"/>
    <s v="South"/>
    <s v="Social"/>
    <n v="4600"/>
    <n v="230"/>
    <n v="1180"/>
    <n v="6000"/>
    <n v="4370"/>
    <n v="3.7033898305084745"/>
    <n v="0.19666666666666666"/>
  </r>
  <r>
    <x v="116"/>
    <s v="North"/>
    <s v="Direct"/>
    <n v="4900"/>
    <n v="245"/>
    <n v="860"/>
    <n v="4900"/>
    <n v="4655"/>
    <n v="5.4127906976744189"/>
    <n v="0.17551020408163265"/>
  </r>
  <r>
    <x v="116"/>
    <s v="South"/>
    <s v="Social"/>
    <n v="4500"/>
    <n v="225"/>
    <n v="1160"/>
    <n v="5900"/>
    <n v="4275"/>
    <n v="3.6853448275862069"/>
    <n v="0.19661016949152543"/>
  </r>
  <r>
    <x v="117"/>
    <s v="North"/>
    <s v="Direct"/>
    <n v="4800"/>
    <n v="240"/>
    <n v="840"/>
    <n v="4800"/>
    <n v="4560"/>
    <n v="5.4285714285714288"/>
    <n v="0.17499999999999999"/>
  </r>
  <r>
    <x v="117"/>
    <s v="South"/>
    <s v="Social"/>
    <n v="4400"/>
    <n v="220"/>
    <n v="1140"/>
    <n v="5800"/>
    <n v="4180"/>
    <n v="3.6666666666666665"/>
    <n v="0.19655172413793104"/>
  </r>
  <r>
    <x v="118"/>
    <s v="North"/>
    <s v="Direct"/>
    <n v="4700"/>
    <n v="235"/>
    <n v="820"/>
    <n v="4700"/>
    <n v="4465"/>
    <n v="5.4451219512195124"/>
    <n v="0.17446808510638298"/>
  </r>
  <r>
    <x v="118"/>
    <s v="South"/>
    <s v="Social"/>
    <n v="4300"/>
    <n v="215"/>
    <n v="1120"/>
    <n v="5700"/>
    <n v="4085"/>
    <n v="3.6473214285714284"/>
    <n v="0.19649122807017544"/>
  </r>
  <r>
    <x v="119"/>
    <s v="North"/>
    <s v="Direct"/>
    <n v="4600"/>
    <n v="230"/>
    <n v="800"/>
    <n v="4600"/>
    <n v="4370"/>
    <n v="5.4625000000000004"/>
    <n v="0.17391304347826086"/>
  </r>
  <r>
    <x v="119"/>
    <s v="South"/>
    <s v="Social"/>
    <n v="4200"/>
    <n v="210"/>
    <n v="1100"/>
    <n v="5600"/>
    <n v="3990"/>
    <n v="3.6272727272727274"/>
    <n v="0.19642857142857142"/>
  </r>
  <r>
    <x v="120"/>
    <s v="North"/>
    <s v="Direct"/>
    <n v="4700"/>
    <n v="235"/>
    <n v="800"/>
    <n v="4700"/>
    <n v="4465"/>
    <n v="5.5812499999999998"/>
    <n v="0.1702127659574468"/>
  </r>
  <r>
    <x v="120"/>
    <s v="South"/>
    <s v="Social"/>
    <n v="4300"/>
    <n v="215"/>
    <n v="1100"/>
    <n v="5700"/>
    <n v="4085"/>
    <n v="3.7136363636363638"/>
    <n v="0.19298245614035087"/>
  </r>
  <r>
    <x v="121"/>
    <s v="North"/>
    <s v="Direct"/>
    <n v="4750"/>
    <n v="237"/>
    <n v="810"/>
    <n v="4750"/>
    <n v="4513"/>
    <n v="5.5716049382716051"/>
    <n v="0.17052631578947369"/>
  </r>
  <r>
    <x v="121"/>
    <s v="South"/>
    <s v="Social"/>
    <n v="4350"/>
    <n v="217"/>
    <n v="1110"/>
    <n v="5750"/>
    <n v="4133"/>
    <n v="3.7234234234234234"/>
    <n v="0.19304347826086957"/>
  </r>
  <r>
    <x v="122"/>
    <s v="North"/>
    <s v="Direct"/>
    <n v="4800"/>
    <n v="240"/>
    <n v="820"/>
    <n v="4800"/>
    <n v="4560"/>
    <n v="5.5609756097560972"/>
    <n v="0.17083333333333334"/>
  </r>
  <r>
    <x v="122"/>
    <s v="South"/>
    <s v="Social"/>
    <n v="4400"/>
    <n v="220"/>
    <n v="1120"/>
    <n v="5800"/>
    <n v="4180"/>
    <n v="3.7321428571428572"/>
    <n v="0.19310344827586207"/>
  </r>
  <r>
    <x v="123"/>
    <s v="North"/>
    <s v="Direct"/>
    <n v="4850"/>
    <n v="242"/>
    <n v="830"/>
    <n v="4850"/>
    <n v="4608"/>
    <n v="5.5518072289156626"/>
    <n v="0.1711340206185567"/>
  </r>
  <r>
    <x v="123"/>
    <s v="South"/>
    <s v="Social"/>
    <n v="4450"/>
    <n v="222"/>
    <n v="1130"/>
    <n v="5850"/>
    <n v="4228"/>
    <n v="3.7415929203539822"/>
    <n v="0.19316239316239317"/>
  </r>
  <r>
    <x v="124"/>
    <s v="North"/>
    <s v="Direct"/>
    <n v="4900"/>
    <n v="245"/>
    <n v="840"/>
    <n v="4900"/>
    <n v="4655"/>
    <n v="5.541666666666667"/>
    <n v="0.17142857142857143"/>
  </r>
  <r>
    <x v="124"/>
    <s v="South"/>
    <s v="Social"/>
    <n v="4500"/>
    <n v="225"/>
    <n v="1140"/>
    <n v="5900"/>
    <n v="4275"/>
    <n v="3.75"/>
    <n v="0.19322033898305085"/>
  </r>
  <r>
    <x v="125"/>
    <s v="North"/>
    <s v="Direct"/>
    <n v="4950"/>
    <n v="247"/>
    <n v="850"/>
    <n v="4950"/>
    <n v="4703"/>
    <n v="5.5329411764705885"/>
    <n v="0.17171717171717171"/>
  </r>
  <r>
    <x v="125"/>
    <s v="South"/>
    <s v="Social"/>
    <n v="4550"/>
    <n v="227"/>
    <n v="1150"/>
    <n v="5950"/>
    <n v="4323"/>
    <n v="3.7591304347826089"/>
    <n v="0.19327731092436976"/>
  </r>
  <r>
    <x v="126"/>
    <s v="North"/>
    <s v="Direct"/>
    <n v="5000"/>
    <n v="250"/>
    <n v="860"/>
    <n v="5000"/>
    <n v="4750"/>
    <n v="5.5232558139534884"/>
    <n v="0.17199999999999999"/>
  </r>
  <r>
    <x v="126"/>
    <s v="South"/>
    <s v="Social"/>
    <n v="4600"/>
    <n v="230"/>
    <n v="1160"/>
    <n v="6000"/>
    <n v="4370"/>
    <n v="3.7672413793103448"/>
    <n v="0.19333333333333333"/>
  </r>
  <r>
    <x v="127"/>
    <s v="North"/>
    <s v="Direct"/>
    <n v="5050"/>
    <n v="252"/>
    <n v="870"/>
    <n v="5050"/>
    <n v="4798"/>
    <n v="5.5149425287356326"/>
    <n v="0.17227722772277226"/>
  </r>
  <r>
    <x v="127"/>
    <s v="South"/>
    <s v="Social"/>
    <n v="4650"/>
    <n v="232"/>
    <n v="1170"/>
    <n v="6050"/>
    <n v="4418"/>
    <n v="3.776068376068376"/>
    <n v="0.1933884297520661"/>
  </r>
  <r>
    <x v="128"/>
    <s v="North"/>
    <s v="Direct"/>
    <n v="5100"/>
    <n v="255"/>
    <n v="880"/>
    <n v="5100"/>
    <n v="4845"/>
    <n v="5.5056818181818183"/>
    <n v="0.17254901960784313"/>
  </r>
  <r>
    <x v="128"/>
    <s v="South"/>
    <s v="Social"/>
    <n v="4700"/>
    <n v="235"/>
    <n v="1180"/>
    <n v="6100"/>
    <n v="4465"/>
    <n v="3.7838983050847457"/>
    <n v="0.19344262295081968"/>
  </r>
  <r>
    <x v="129"/>
    <s v="North"/>
    <s v="Direct"/>
    <n v="5150"/>
    <n v="257"/>
    <n v="890"/>
    <n v="5150"/>
    <n v="4893"/>
    <n v="5.4977528089887642"/>
    <n v="0.17281553398058253"/>
  </r>
  <r>
    <x v="129"/>
    <s v="South"/>
    <s v="Social"/>
    <n v="4750"/>
    <n v="237"/>
    <n v="1190"/>
    <n v="6150"/>
    <n v="4513"/>
    <n v="3.7924369747899158"/>
    <n v="0.19349593495934958"/>
  </r>
  <r>
    <x v="130"/>
    <s v="North"/>
    <s v="Direct"/>
    <n v="5200"/>
    <n v="260"/>
    <n v="900"/>
    <n v="5200"/>
    <n v="4940"/>
    <n v="5.4888888888888889"/>
    <n v="0.17307692307692307"/>
  </r>
  <r>
    <x v="130"/>
    <s v="South"/>
    <s v="Social"/>
    <n v="4800"/>
    <n v="240"/>
    <n v="1200"/>
    <n v="6200"/>
    <n v="4560"/>
    <n v="3.8"/>
    <n v="0.19354838709677419"/>
  </r>
  <r>
    <x v="131"/>
    <s v="North"/>
    <s v="Direct"/>
    <n v="5250"/>
    <n v="262"/>
    <n v="910"/>
    <n v="5250"/>
    <n v="4988"/>
    <n v="5.4813186813186814"/>
    <n v="0.17333333333333334"/>
  </r>
  <r>
    <x v="131"/>
    <s v="South"/>
    <s v="Social"/>
    <n v="4850"/>
    <n v="242"/>
    <n v="1210"/>
    <n v="6250"/>
    <n v="4608"/>
    <n v="3.8082644628099174"/>
    <n v="0.19359999999999999"/>
  </r>
  <r>
    <x v="132"/>
    <s v="North"/>
    <s v="Direct"/>
    <n v="5300"/>
    <n v="265"/>
    <n v="920"/>
    <n v="5300"/>
    <n v="5035"/>
    <n v="5.4728260869565215"/>
    <n v="0.17358490566037735"/>
  </r>
  <r>
    <x v="132"/>
    <s v="South"/>
    <s v="Social"/>
    <n v="4900"/>
    <n v="245"/>
    <n v="1220"/>
    <n v="6300"/>
    <n v="4655"/>
    <n v="3.8155737704918034"/>
    <n v="0.19365079365079366"/>
  </r>
  <r>
    <x v="133"/>
    <s v="North"/>
    <s v="Direct"/>
    <n v="5350"/>
    <n v="267"/>
    <n v="930"/>
    <n v="5350"/>
    <n v="5083"/>
    <n v="5.4655913978494626"/>
    <n v="0.17383177570093458"/>
  </r>
  <r>
    <x v="133"/>
    <s v="South"/>
    <s v="Social"/>
    <n v="4950"/>
    <n v="247"/>
    <n v="1230"/>
    <n v="6350"/>
    <n v="4703"/>
    <n v="3.8235772357723579"/>
    <n v="0.19370078740157481"/>
  </r>
  <r>
    <x v="134"/>
    <s v="North"/>
    <s v="Direct"/>
    <n v="5400"/>
    <n v="270"/>
    <n v="940"/>
    <n v="5400"/>
    <n v="5130"/>
    <n v="5.457446808510638"/>
    <n v="0.17407407407407408"/>
  </r>
  <r>
    <x v="134"/>
    <s v="South"/>
    <s v="Social"/>
    <n v="5000"/>
    <n v="250"/>
    <n v="1240"/>
    <n v="6400"/>
    <n v="4750"/>
    <n v="3.8306451612903225"/>
    <n v="0.19375000000000001"/>
  </r>
  <r>
    <x v="135"/>
    <s v="North"/>
    <s v="Direct"/>
    <n v="5450"/>
    <n v="272"/>
    <n v="950"/>
    <n v="5450"/>
    <n v="5178"/>
    <n v="5.4505263157894737"/>
    <n v="0.1743119266055046"/>
  </r>
  <r>
    <x v="135"/>
    <s v="South"/>
    <s v="Social"/>
    <n v="5050"/>
    <n v="252"/>
    <n v="1250"/>
    <n v="6450"/>
    <n v="4798"/>
    <n v="3.8384"/>
    <n v="0.19379844961240311"/>
  </r>
  <r>
    <x v="136"/>
    <s v="North"/>
    <s v="Direct"/>
    <n v="5500"/>
    <n v="275"/>
    <n v="960"/>
    <n v="5500"/>
    <n v="5225"/>
    <n v="5.442708333333333"/>
    <n v="0.17454545454545456"/>
  </r>
  <r>
    <x v="136"/>
    <s v="South"/>
    <s v="Social"/>
    <n v="5100"/>
    <n v="255"/>
    <n v="1260"/>
    <n v="6500"/>
    <n v="4845"/>
    <n v="3.8452380952380953"/>
    <n v="0.19384615384615383"/>
  </r>
  <r>
    <x v="137"/>
    <s v="North"/>
    <s v="Direct"/>
    <n v="5550"/>
    <n v="277"/>
    <n v="970"/>
    <n v="5550"/>
    <n v="5273"/>
    <n v="5.4360824742268044"/>
    <n v="0.17477477477477477"/>
  </r>
  <r>
    <x v="137"/>
    <s v="South"/>
    <s v="Social"/>
    <n v="5150"/>
    <n v="257"/>
    <n v="1270"/>
    <n v="6550"/>
    <n v="4893"/>
    <n v="3.852755905511811"/>
    <n v="0.19389312977099238"/>
  </r>
  <r>
    <x v="138"/>
    <s v="North"/>
    <s v="Direct"/>
    <n v="5600"/>
    <n v="280"/>
    <n v="980"/>
    <n v="5600"/>
    <n v="5320"/>
    <n v="5.4285714285714288"/>
    <n v="0.17499999999999999"/>
  </r>
  <r>
    <x v="138"/>
    <s v="South"/>
    <s v="Social"/>
    <n v="5200"/>
    <n v="260"/>
    <n v="1280"/>
    <n v="6600"/>
    <n v="4940"/>
    <n v="3.859375"/>
    <n v="0.19393939393939394"/>
  </r>
  <r>
    <x v="139"/>
    <s v="North"/>
    <s v="Direct"/>
    <n v="5650"/>
    <n v="282"/>
    <n v="990"/>
    <n v="5650"/>
    <n v="5368"/>
    <n v="5.4222222222222225"/>
    <n v="0.17522123893805311"/>
  </r>
  <r>
    <x v="139"/>
    <s v="South"/>
    <s v="Social"/>
    <n v="5250"/>
    <n v="262"/>
    <n v="1290"/>
    <n v="6650"/>
    <n v="4988"/>
    <n v="3.8666666666666667"/>
    <n v="0.19398496240601504"/>
  </r>
  <r>
    <x v="140"/>
    <s v="North"/>
    <s v="Direct"/>
    <n v="5700"/>
    <n v="285"/>
    <n v="1000"/>
    <n v="5700"/>
    <n v="5415"/>
    <n v="5.415"/>
    <n v="0.17543859649122806"/>
  </r>
  <r>
    <x v="140"/>
    <s v="South"/>
    <s v="Social"/>
    <n v="5300"/>
    <n v="265"/>
    <n v="1300"/>
    <n v="6700"/>
    <n v="5035"/>
    <n v="3.8730769230769231"/>
    <n v="0.19402985074626866"/>
  </r>
  <r>
    <x v="141"/>
    <s v="North"/>
    <s v="Direct"/>
    <n v="5750"/>
    <n v="287"/>
    <n v="1010"/>
    <n v="5750"/>
    <n v="5463"/>
    <n v="5.4089108910891088"/>
    <n v="0.17565217391304347"/>
  </r>
  <r>
    <x v="141"/>
    <s v="South"/>
    <s v="Social"/>
    <n v="5350"/>
    <n v="267"/>
    <n v="1310"/>
    <n v="6750"/>
    <n v="5083"/>
    <n v="3.8801526717557251"/>
    <n v="0.19407407407407407"/>
  </r>
  <r>
    <x v="142"/>
    <s v="North"/>
    <s v="Direct"/>
    <n v="5800"/>
    <n v="290"/>
    <n v="1020"/>
    <n v="5800"/>
    <n v="5510"/>
    <n v="5.4019607843137258"/>
    <n v="0.17586206896551723"/>
  </r>
  <r>
    <x v="142"/>
    <s v="South"/>
    <s v="Social"/>
    <n v="5400"/>
    <n v="270"/>
    <n v="1320"/>
    <n v="6800"/>
    <n v="5130"/>
    <n v="3.8863636363636362"/>
    <n v="0.19411764705882353"/>
  </r>
  <r>
    <x v="143"/>
    <s v="North"/>
    <s v="Direct"/>
    <n v="5850"/>
    <n v="292"/>
    <n v="1030"/>
    <n v="5850"/>
    <n v="5558"/>
    <n v="5.3961165048543691"/>
    <n v="0.17606837606837608"/>
  </r>
  <r>
    <x v="143"/>
    <s v="South"/>
    <s v="Social"/>
    <n v="5450"/>
    <n v="272"/>
    <n v="1330"/>
    <n v="6850"/>
    <n v="5178"/>
    <n v="3.8932330827067667"/>
    <n v="0.19416058394160585"/>
  </r>
  <r>
    <x v="144"/>
    <s v="North"/>
    <s v="Direct"/>
    <n v="5900"/>
    <n v="295"/>
    <n v="1040"/>
    <n v="5900"/>
    <n v="5605"/>
    <n v="5.3894230769230766"/>
    <n v="0.17627118644067796"/>
  </r>
  <r>
    <x v="144"/>
    <s v="South"/>
    <s v="Social"/>
    <n v="5500"/>
    <n v="275"/>
    <n v="1340"/>
    <n v="6900"/>
    <n v="5225"/>
    <n v="3.8992537313432836"/>
    <n v="0.19420289855072465"/>
  </r>
  <r>
    <x v="145"/>
    <s v="North"/>
    <s v="Direct"/>
    <n v="5950"/>
    <n v="297"/>
    <n v="1050"/>
    <n v="5950"/>
    <n v="5653"/>
    <n v="5.383809523809524"/>
    <n v="0.17647058823529413"/>
  </r>
  <r>
    <x v="145"/>
    <s v="South"/>
    <s v="Social"/>
    <n v="5550"/>
    <n v="277"/>
    <n v="1350"/>
    <n v="6950"/>
    <n v="5273"/>
    <n v="3.905925925925926"/>
    <n v="0.19424460431654678"/>
  </r>
  <r>
    <x v="146"/>
    <s v="North"/>
    <s v="Direct"/>
    <n v="6000"/>
    <n v="300"/>
    <n v="1060"/>
    <n v="6000"/>
    <n v="5700"/>
    <n v="5.3773584905660377"/>
    <n v="0.17666666666666667"/>
  </r>
  <r>
    <x v="146"/>
    <s v="South"/>
    <s v="Social"/>
    <n v="5600"/>
    <n v="280"/>
    <n v="1360"/>
    <n v="7000"/>
    <n v="5320"/>
    <n v="3.9117647058823528"/>
    <n v="0.19428571428571428"/>
  </r>
  <r>
    <x v="147"/>
    <s v="North"/>
    <s v="Direct"/>
    <n v="6050"/>
    <n v="302"/>
    <n v="1070"/>
    <n v="6050"/>
    <n v="5748"/>
    <n v="5.3719626168224295"/>
    <n v="0.17685950413223139"/>
  </r>
  <r>
    <x v="147"/>
    <s v="South"/>
    <s v="Social"/>
    <n v="5650"/>
    <n v="282"/>
    <n v="1370"/>
    <n v="7050"/>
    <n v="5368"/>
    <n v="3.9182481751824816"/>
    <n v="0.19432624113475178"/>
  </r>
  <r>
    <x v="148"/>
    <s v="North"/>
    <s v="Direct"/>
    <n v="6100"/>
    <n v="305"/>
    <n v="1080"/>
    <n v="6100"/>
    <n v="5795"/>
    <n v="5.3657407407407405"/>
    <n v="0.17704918032786884"/>
  </r>
  <r>
    <x v="148"/>
    <s v="South"/>
    <s v="Social"/>
    <n v="5700"/>
    <n v="285"/>
    <n v="1380"/>
    <n v="7100"/>
    <n v="5415"/>
    <n v="3.9239130434782608"/>
    <n v="0.19436619718309858"/>
  </r>
  <r>
    <x v="149"/>
    <s v="North"/>
    <s v="Direct"/>
    <n v="6150"/>
    <n v="307"/>
    <n v="1090"/>
    <n v="6150"/>
    <n v="5843"/>
    <n v="5.3605504587155961"/>
    <n v="0.17723577235772359"/>
  </r>
  <r>
    <x v="149"/>
    <s v="South"/>
    <s v="Social"/>
    <n v="5750"/>
    <n v="287"/>
    <n v="1390"/>
    <n v="7150"/>
    <n v="5463"/>
    <n v="3.9302158273381296"/>
    <n v="0.19440559440559441"/>
  </r>
  <r>
    <x v="150"/>
    <s v="North"/>
    <s v="Direct"/>
    <n v="6200"/>
    <n v="310"/>
    <n v="1100"/>
    <n v="6200"/>
    <n v="5890"/>
    <n v="5.3545454545454545"/>
    <n v="0.17741935483870969"/>
  </r>
  <r>
    <x v="150"/>
    <s v="South"/>
    <s v="Social"/>
    <n v="5800"/>
    <n v="290"/>
    <n v="1400"/>
    <n v="7200"/>
    <n v="5510"/>
    <n v="3.9357142857142855"/>
    <n v="0.19444444444444445"/>
  </r>
  <r>
    <x v="151"/>
    <s v="North"/>
    <s v="Direct"/>
    <n v="6000"/>
    <n v="300"/>
    <n v="1000"/>
    <n v="6000"/>
    <n v="5700"/>
    <n v="5.7"/>
    <n v="0.16666666666666666"/>
  </r>
  <r>
    <x v="151"/>
    <s v="South"/>
    <s v="Social"/>
    <n v="5600"/>
    <n v="280"/>
    <n v="1300"/>
    <n v="7000"/>
    <n v="5320"/>
    <n v="4.092307692307692"/>
    <n v="0.18571428571428572"/>
  </r>
  <r>
    <x v="152"/>
    <s v="North"/>
    <s v="Direct"/>
    <n v="6050"/>
    <n v="302"/>
    <n v="1010"/>
    <n v="6050"/>
    <n v="5748"/>
    <n v="5.6910891089108908"/>
    <n v="0.16694214876033059"/>
  </r>
  <r>
    <x v="152"/>
    <s v="South"/>
    <s v="Social"/>
    <n v="5650"/>
    <n v="282"/>
    <n v="1310"/>
    <n v="7050"/>
    <n v="5368"/>
    <n v="4.0977099236641221"/>
    <n v="0.18581560283687942"/>
  </r>
  <r>
    <x v="153"/>
    <s v="North"/>
    <s v="Direct"/>
    <n v="6100"/>
    <n v="305"/>
    <n v="1020"/>
    <n v="6100"/>
    <n v="5795"/>
    <n v="5.6813725490196081"/>
    <n v="0.16721311475409836"/>
  </r>
  <r>
    <x v="153"/>
    <s v="South"/>
    <s v="Social"/>
    <n v="5700"/>
    <n v="285"/>
    <n v="1320"/>
    <n v="7100"/>
    <n v="5415"/>
    <n v="4.1022727272727275"/>
    <n v="0.18591549295774648"/>
  </r>
  <r>
    <x v="154"/>
    <s v="North"/>
    <s v="Direct"/>
    <n v="6150"/>
    <n v="307"/>
    <n v="1030"/>
    <n v="6150"/>
    <n v="5843"/>
    <n v="5.6728155339805824"/>
    <n v="0.16747967479674797"/>
  </r>
  <r>
    <x v="154"/>
    <s v="South"/>
    <s v="Social"/>
    <n v="5750"/>
    <n v="287"/>
    <n v="1330"/>
    <n v="7150"/>
    <n v="5463"/>
    <n v="4.1075187969924816"/>
    <n v="0.18601398601398603"/>
  </r>
  <r>
    <x v="155"/>
    <s v="North"/>
    <s v="Direct"/>
    <n v="6200"/>
    <n v="310"/>
    <n v="1040"/>
    <n v="6200"/>
    <n v="5890"/>
    <n v="5.6634615384615383"/>
    <n v="0.16774193548387098"/>
  </r>
  <r>
    <x v="155"/>
    <s v="South"/>
    <s v="Social"/>
    <n v="5800"/>
    <n v="290"/>
    <n v="1340"/>
    <n v="7200"/>
    <n v="5510"/>
    <n v="4.1119402985074629"/>
    <n v="0.18611111111111112"/>
  </r>
  <r>
    <x v="156"/>
    <s v="North"/>
    <s v="Direct"/>
    <n v="6250"/>
    <n v="312"/>
    <n v="1050"/>
    <n v="6250"/>
    <n v="5938"/>
    <n v="5.6552380952380954"/>
    <n v="0.16800000000000001"/>
  </r>
  <r>
    <x v="156"/>
    <s v="South"/>
    <s v="Social"/>
    <n v="5850"/>
    <n v="292"/>
    <n v="1350"/>
    <n v="7250"/>
    <n v="5558"/>
    <n v="4.1170370370370373"/>
    <n v="0.18620689655172415"/>
  </r>
  <r>
    <x v="157"/>
    <s v="North"/>
    <s v="Direct"/>
    <n v="6300"/>
    <n v="315"/>
    <n v="1060"/>
    <n v="6300"/>
    <n v="5985"/>
    <n v="5.6462264150943398"/>
    <n v="0.16825396825396827"/>
  </r>
  <r>
    <x v="157"/>
    <s v="South"/>
    <s v="Social"/>
    <n v="5900"/>
    <n v="295"/>
    <n v="1360"/>
    <n v="7300"/>
    <n v="5605"/>
    <n v="4.1213235294117645"/>
    <n v="0.18630136986301371"/>
  </r>
  <r>
    <x v="158"/>
    <s v="North"/>
    <s v="Direct"/>
    <n v="6350"/>
    <n v="317"/>
    <n v="1070"/>
    <n v="6350"/>
    <n v="6033"/>
    <n v="5.6383177570093457"/>
    <n v="0.16850393700787403"/>
  </r>
  <r>
    <x v="158"/>
    <s v="South"/>
    <s v="Social"/>
    <n v="5950"/>
    <n v="297"/>
    <n v="1370"/>
    <n v="7350"/>
    <n v="5653"/>
    <n v="4.1262773722627735"/>
    <n v="0.18639455782312925"/>
  </r>
  <r>
    <x v="159"/>
    <s v="North"/>
    <s v="Direct"/>
    <n v="6400"/>
    <n v="320"/>
    <n v="1080"/>
    <n v="6400"/>
    <n v="6080"/>
    <n v="5.6296296296296298"/>
    <n v="0.16875000000000001"/>
  </r>
  <r>
    <x v="159"/>
    <s v="South"/>
    <s v="Social"/>
    <n v="6000"/>
    <n v="300"/>
    <n v="1380"/>
    <n v="7400"/>
    <n v="5700"/>
    <n v="4.1304347826086953"/>
    <n v="0.1864864864864865"/>
  </r>
  <r>
    <x v="160"/>
    <s v="North"/>
    <s v="Direct"/>
    <n v="6450"/>
    <n v="322"/>
    <n v="1090"/>
    <n v="6450"/>
    <n v="6128"/>
    <n v="5.6220183486238531"/>
    <n v="0.16899224806201552"/>
  </r>
  <r>
    <x v="160"/>
    <s v="South"/>
    <s v="Social"/>
    <n v="6050"/>
    <n v="302"/>
    <n v="1390"/>
    <n v="7450"/>
    <n v="5748"/>
    <n v="4.1352517985611508"/>
    <n v="0.18657718120805369"/>
  </r>
  <r>
    <x v="161"/>
    <s v="North"/>
    <s v="Direct"/>
    <n v="6500"/>
    <n v="325"/>
    <n v="1100"/>
    <n v="6500"/>
    <n v="6175"/>
    <n v="5.6136363636363633"/>
    <n v="0.16923076923076924"/>
  </r>
  <r>
    <x v="161"/>
    <s v="South"/>
    <s v="Social"/>
    <n v="6100"/>
    <n v="305"/>
    <n v="1400"/>
    <n v="7500"/>
    <n v="5795"/>
    <n v="4.1392857142857142"/>
    <n v="0.18666666666666668"/>
  </r>
  <r>
    <x v="162"/>
    <s v="North"/>
    <s v="Direct"/>
    <n v="6550"/>
    <n v="327"/>
    <n v="1110"/>
    <n v="6550"/>
    <n v="6223"/>
    <n v="5.6063063063063066"/>
    <n v="0.16946564885496182"/>
  </r>
  <r>
    <x v="162"/>
    <s v="South"/>
    <s v="Social"/>
    <n v="6150"/>
    <n v="307"/>
    <n v="1410"/>
    <n v="7550"/>
    <n v="5843"/>
    <n v="4.143971631205674"/>
    <n v="0.18675496688741722"/>
  </r>
  <r>
    <x v="163"/>
    <s v="North"/>
    <s v="Direct"/>
    <n v="6600"/>
    <n v="330"/>
    <n v="1120"/>
    <n v="6600"/>
    <n v="6270"/>
    <n v="5.5982142857142856"/>
    <n v="0.16969696969696971"/>
  </r>
  <r>
    <x v="163"/>
    <s v="South"/>
    <s v="Social"/>
    <n v="6200"/>
    <n v="310"/>
    <n v="1420"/>
    <n v="7600"/>
    <n v="5890"/>
    <n v="4.147887323943662"/>
    <n v="0.18684210526315789"/>
  </r>
  <r>
    <x v="164"/>
    <s v="North"/>
    <s v="Direct"/>
    <n v="6650"/>
    <n v="332"/>
    <n v="1130"/>
    <n v="6650"/>
    <n v="6318"/>
    <n v="5.5911504424778764"/>
    <n v="0.1699248120300752"/>
  </r>
  <r>
    <x v="164"/>
    <s v="South"/>
    <s v="Social"/>
    <n v="6250"/>
    <n v="312"/>
    <n v="1430"/>
    <n v="7650"/>
    <n v="5938"/>
    <n v="4.1524475524475521"/>
    <n v="0.1869281045751634"/>
  </r>
  <r>
    <x v="165"/>
    <s v="North"/>
    <s v="Direct"/>
    <n v="5200"/>
    <n v="4800"/>
    <n v="700"/>
    <n v="4500"/>
    <n v="400"/>
    <n v="0.5714285714285714"/>
    <n v="0.15555555555555556"/>
  </r>
  <r>
    <x v="165"/>
    <s v="South"/>
    <s v="Social"/>
    <n v="4900"/>
    <n v="4200"/>
    <n v="900"/>
    <n v="5200"/>
    <n v="700"/>
    <n v="0.77777777777777779"/>
    <n v="0.17307692307692307"/>
  </r>
  <r>
    <x v="166"/>
    <s v="North"/>
    <s v="Direct"/>
    <n v="5100"/>
    <n v="4700"/>
    <n v="650"/>
    <n v="4400"/>
    <n v="400"/>
    <n v="0.61538461538461542"/>
    <n v="0.14772727272727273"/>
  </r>
  <r>
    <x v="166"/>
    <s v="South"/>
    <s v="Social"/>
    <n v="4800"/>
    <n v="4100"/>
    <n v="850"/>
    <n v="5100"/>
    <n v="700"/>
    <n v="0.82352941176470584"/>
    <n v="0.16666666666666666"/>
  </r>
  <r>
    <x v="167"/>
    <s v="North"/>
    <s v="Direct"/>
    <n v="5300"/>
    <n v="4900"/>
    <n v="720"/>
    <n v="4600"/>
    <n v="400"/>
    <n v="0.55555555555555558"/>
    <n v="0.15652173913043479"/>
  </r>
  <r>
    <x v="167"/>
    <s v="South"/>
    <s v="Social"/>
    <n v="5000"/>
    <n v="4300"/>
    <n v="920"/>
    <n v="5300"/>
    <n v="700"/>
    <n v="0.76086956521739135"/>
    <n v="0.17358490566037735"/>
  </r>
  <r>
    <x v="168"/>
    <s v="North"/>
    <s v="Direct"/>
    <n v="5200"/>
    <n v="4800"/>
    <n v="700"/>
    <n v="4500"/>
    <n v="400"/>
    <n v="0.5714285714285714"/>
    <n v="0.15555555555555556"/>
  </r>
  <r>
    <x v="168"/>
    <s v="South"/>
    <s v="Social"/>
    <n v="4900"/>
    <n v="4200"/>
    <n v="900"/>
    <n v="5200"/>
    <n v="700"/>
    <n v="0.77777777777777779"/>
    <n v="0.17307692307692307"/>
  </r>
  <r>
    <x v="169"/>
    <s v="North"/>
    <s v="Direct"/>
    <n v="5100"/>
    <n v="4700"/>
    <n v="650"/>
    <n v="4400"/>
    <n v="400"/>
    <n v="0.61538461538461542"/>
    <n v="0.14772727272727273"/>
  </r>
  <r>
    <x v="169"/>
    <s v="South"/>
    <s v="Social"/>
    <n v="4800"/>
    <n v="4100"/>
    <n v="850"/>
    <n v="5100"/>
    <n v="700"/>
    <n v="0.82352941176470584"/>
    <n v="0.16666666666666666"/>
  </r>
  <r>
    <x v="170"/>
    <s v="North"/>
    <s v="Direct"/>
    <n v="5300"/>
    <n v="4900"/>
    <n v="720"/>
    <n v="4600"/>
    <n v="400"/>
    <n v="0.55555555555555558"/>
    <n v="0.15652173913043479"/>
  </r>
  <r>
    <x v="170"/>
    <s v="South"/>
    <s v="Social"/>
    <n v="5000"/>
    <n v="4300"/>
    <n v="920"/>
    <n v="5300"/>
    <n v="700"/>
    <n v="0.76086956521739135"/>
    <n v="0.17358490566037735"/>
  </r>
  <r>
    <x v="171"/>
    <s v="North"/>
    <s v="Direct"/>
    <n v="5200"/>
    <n v="4800"/>
    <n v="700"/>
    <n v="4500"/>
    <n v="400"/>
    <n v="0.5714285714285714"/>
    <n v="0.15555555555555556"/>
  </r>
  <r>
    <x v="171"/>
    <s v="South"/>
    <s v="Social"/>
    <n v="4900"/>
    <n v="4200"/>
    <n v="900"/>
    <n v="5200"/>
    <n v="700"/>
    <n v="0.77777777777777779"/>
    <n v="0.17307692307692307"/>
  </r>
  <r>
    <x v="172"/>
    <s v="North"/>
    <s v="Direct"/>
    <n v="6500"/>
    <n v="325"/>
    <n v="1100"/>
    <n v="6500"/>
    <n v="6175"/>
    <n v="5.6136363636363633"/>
    <n v="0.16923076923076924"/>
  </r>
  <r>
    <x v="172"/>
    <s v="South"/>
    <s v="Social"/>
    <n v="6100"/>
    <n v="305"/>
    <n v="1400"/>
    <n v="7500"/>
    <n v="5795"/>
    <n v="4.1392857142857142"/>
    <n v="0.18666666666666668"/>
  </r>
  <r>
    <x v="173"/>
    <s v="North"/>
    <s v="Direct"/>
    <n v="6550"/>
    <n v="327"/>
    <n v="1110"/>
    <n v="6550"/>
    <n v="6223"/>
    <n v="5.6063063063063066"/>
    <n v="0.16946564885496182"/>
  </r>
  <r>
    <x v="173"/>
    <s v="South"/>
    <s v="Social"/>
    <n v="6150"/>
    <n v="307"/>
    <n v="1410"/>
    <n v="7550"/>
    <n v="5843"/>
    <n v="4.143971631205674"/>
    <n v="0.18675496688741722"/>
  </r>
  <r>
    <x v="174"/>
    <s v="North"/>
    <s v="Direct"/>
    <n v="6600"/>
    <n v="330"/>
    <n v="1120"/>
    <n v="6600"/>
    <n v="6270"/>
    <n v="5.5982142857142856"/>
    <n v="0.16969696969696971"/>
  </r>
  <r>
    <x v="174"/>
    <s v="South"/>
    <s v="Social"/>
    <n v="6200"/>
    <n v="310"/>
    <n v="1420"/>
    <n v="7600"/>
    <n v="5890"/>
    <n v="4.147887323943662"/>
    <n v="0.18684210526315789"/>
  </r>
  <r>
    <x v="175"/>
    <s v="North"/>
    <s v="Direct"/>
    <n v="6650"/>
    <n v="332"/>
    <n v="1130"/>
    <n v="6650"/>
    <n v="6318"/>
    <n v="5.5911504424778764"/>
    <n v="0.1699248120300752"/>
  </r>
  <r>
    <x v="175"/>
    <s v="South"/>
    <s v="Social"/>
    <n v="6250"/>
    <n v="312"/>
    <n v="1430"/>
    <n v="7650"/>
    <n v="5938"/>
    <n v="4.1524475524475521"/>
    <n v="0.1869281045751634"/>
  </r>
  <r>
    <x v="176"/>
    <s v="North"/>
    <s v="Direct"/>
    <n v="6700"/>
    <n v="335"/>
    <n v="1140"/>
    <n v="6700"/>
    <n v="6365"/>
    <n v="5.583333333333333"/>
    <n v="0.17014925373134329"/>
  </r>
  <r>
    <x v="176"/>
    <s v="South"/>
    <s v="Social"/>
    <n v="6300"/>
    <n v="315"/>
    <n v="1440"/>
    <n v="7700"/>
    <n v="5985"/>
    <n v="4.15625"/>
    <n v="0.18701298701298702"/>
  </r>
  <r>
    <x v="177"/>
    <s v="North"/>
    <s v="Direct"/>
    <n v="6750"/>
    <n v="337"/>
    <n v="1150"/>
    <n v="6750"/>
    <n v="6413"/>
    <n v="5.5765217391304347"/>
    <n v="0.17037037037037037"/>
  </r>
  <r>
    <x v="177"/>
    <s v="South"/>
    <s v="Social"/>
    <n v="6350"/>
    <n v="317"/>
    <n v="1450"/>
    <n v="7750"/>
    <n v="6033"/>
    <n v="4.1606896551724137"/>
    <n v="0.18709677419354839"/>
  </r>
  <r>
    <x v="178"/>
    <s v="North"/>
    <s v="Direct"/>
    <n v="6800"/>
    <n v="340"/>
    <n v="1160"/>
    <n v="6800"/>
    <n v="6460"/>
    <n v="5.568965517241379"/>
    <n v="0.17058823529411765"/>
  </r>
  <r>
    <x v="178"/>
    <s v="South"/>
    <s v="Social"/>
    <n v="6400"/>
    <n v="320"/>
    <n v="1460"/>
    <n v="7800"/>
    <n v="6080"/>
    <n v="4.1643835616438354"/>
    <n v="0.18717948717948718"/>
  </r>
  <r>
    <x v="179"/>
    <s v="North"/>
    <s v="Direct"/>
    <n v="6850"/>
    <n v="342"/>
    <n v="1170"/>
    <n v="6850"/>
    <n v="6508"/>
    <n v="5.5623931623931622"/>
    <n v="0.17080291970802919"/>
  </r>
  <r>
    <x v="179"/>
    <s v="South"/>
    <s v="Social"/>
    <n v="6450"/>
    <n v="322"/>
    <n v="1470"/>
    <n v="7850"/>
    <n v="6128"/>
    <n v="4.1687074829931969"/>
    <n v="0.18726114649681527"/>
  </r>
  <r>
    <x v="180"/>
    <s v="North"/>
    <s v="Direct"/>
    <n v="6900"/>
    <n v="345"/>
    <n v="1180"/>
    <n v="6900"/>
    <n v="6555"/>
    <n v="5.5550847457627119"/>
    <n v="0.17101449275362318"/>
  </r>
  <r>
    <x v="180"/>
    <s v="South"/>
    <s v="Social"/>
    <n v="6500"/>
    <n v="325"/>
    <n v="1480"/>
    <n v="7900"/>
    <n v="6175"/>
    <n v="4.1722972972972974"/>
    <n v="0.18734177215189873"/>
  </r>
  <r>
    <x v="181"/>
    <s v="North"/>
    <s v="Direct"/>
    <n v="5500"/>
    <n v="275"/>
    <n v="900"/>
    <n v="5200"/>
    <n v="5225"/>
    <n v="5.8055555555555554"/>
    <n v="0.17307692307692307"/>
  </r>
  <r>
    <x v="181"/>
    <s v="South"/>
    <s v="Social"/>
    <n v="5100"/>
    <n v="255"/>
    <n v="1200"/>
    <n v="6500"/>
    <n v="4845"/>
    <n v="4.0374999999999996"/>
    <n v="0.18461538461538463"/>
  </r>
  <r>
    <x v="182"/>
    <s v="North"/>
    <s v="Direct"/>
    <n v="5550"/>
    <n v="277"/>
    <n v="910"/>
    <n v="5250"/>
    <n v="5273"/>
    <n v="5.7945054945054943"/>
    <n v="0.17333333333333334"/>
  </r>
  <r>
    <x v="182"/>
    <s v="South"/>
    <s v="Social"/>
    <n v="5150"/>
    <n v="257"/>
    <n v="1210"/>
    <n v="6550"/>
    <n v="4893"/>
    <n v="4.0438016528925615"/>
    <n v="0.18473282442748093"/>
  </r>
  <r>
    <x v="183"/>
    <s v="North"/>
    <s v="Direct"/>
    <n v="5600"/>
    <n v="280"/>
    <n v="920"/>
    <n v="5300"/>
    <n v="5320"/>
    <n v="5.7826086956521738"/>
    <n v="0.17358490566037735"/>
  </r>
  <r>
    <x v="183"/>
    <s v="South"/>
    <s v="Social"/>
    <n v="5200"/>
    <n v="260"/>
    <n v="1220"/>
    <n v="6600"/>
    <n v="4940"/>
    <n v="4.0491803278688527"/>
    <n v="0.18484848484848485"/>
  </r>
  <r>
    <x v="184"/>
    <s v="North"/>
    <s v="Direct"/>
    <n v="5650"/>
    <n v="282"/>
    <n v="930"/>
    <n v="5350"/>
    <n v="5368"/>
    <n v="5.7720430107526886"/>
    <n v="0.17383177570093458"/>
  </r>
  <r>
    <x v="184"/>
    <s v="South"/>
    <s v="Social"/>
    <n v="5250"/>
    <n v="262"/>
    <n v="1230"/>
    <n v="6650"/>
    <n v="4988"/>
    <n v="4.0552845528455288"/>
    <n v="0.18496240601503761"/>
  </r>
  <r>
    <x v="185"/>
    <s v="North"/>
    <s v="Direct"/>
    <n v="5700"/>
    <n v="285"/>
    <n v="940"/>
    <n v="5400"/>
    <n v="5415"/>
    <n v="5.7606382978723403"/>
    <n v="0.17407407407407408"/>
  </r>
  <r>
    <x v="185"/>
    <s v="South"/>
    <s v="Social"/>
    <n v="5300"/>
    <n v="265"/>
    <n v="1240"/>
    <n v="6700"/>
    <n v="5035"/>
    <n v="4.060483870967742"/>
    <n v="0.18507462686567164"/>
  </r>
  <r>
    <x v="186"/>
    <s v="North"/>
    <s v="Direct"/>
    <n v="5750"/>
    <n v="287"/>
    <n v="950"/>
    <n v="5450"/>
    <n v="5463"/>
    <n v="5.7505263157894735"/>
    <n v="0.1743119266055046"/>
  </r>
  <r>
    <x v="186"/>
    <s v="South"/>
    <s v="Social"/>
    <n v="5350"/>
    <n v="267"/>
    <n v="1250"/>
    <n v="6750"/>
    <n v="5083"/>
    <n v="4.0663999999999998"/>
    <n v="0.18518518518518517"/>
  </r>
  <r>
    <x v="187"/>
    <s v="North"/>
    <s v="Direct"/>
    <n v="5800"/>
    <n v="290"/>
    <n v="960"/>
    <n v="5500"/>
    <n v="5510"/>
    <n v="5.739583333333333"/>
    <n v="0.17454545454545456"/>
  </r>
  <r>
    <x v="187"/>
    <s v="South"/>
    <s v="Social"/>
    <n v="5400"/>
    <n v="270"/>
    <n v="1260"/>
    <n v="6800"/>
    <n v="5130"/>
    <n v="4.0714285714285712"/>
    <n v="0.18529411764705883"/>
  </r>
  <r>
    <x v="188"/>
    <s v="North"/>
    <s v="Direct"/>
    <n v="5850"/>
    <n v="292"/>
    <n v="970"/>
    <n v="5550"/>
    <n v="5558"/>
    <n v="5.7298969072164949"/>
    <n v="0.17477477477477477"/>
  </r>
  <r>
    <x v="188"/>
    <s v="South"/>
    <s v="Social"/>
    <n v="5450"/>
    <n v="272"/>
    <n v="1270"/>
    <n v="6850"/>
    <n v="5178"/>
    <n v="4.0771653543307087"/>
    <n v="0.1854014598540146"/>
  </r>
  <r>
    <x v="189"/>
    <s v="North"/>
    <s v="Direct"/>
    <n v="5900"/>
    <n v="295"/>
    <n v="980"/>
    <n v="5600"/>
    <n v="5605"/>
    <n v="5.7193877551020407"/>
    <n v="0.17499999999999999"/>
  </r>
  <r>
    <x v="189"/>
    <s v="South"/>
    <s v="Social"/>
    <n v="5500"/>
    <n v="275"/>
    <n v="1280"/>
    <n v="6900"/>
    <n v="5225"/>
    <n v="4.08203125"/>
    <n v="0.1855072463768116"/>
  </r>
  <r>
    <x v="190"/>
    <s v="North"/>
    <s v="Direct"/>
    <n v="5950"/>
    <n v="297"/>
    <n v="990"/>
    <n v="5650"/>
    <n v="5653"/>
    <n v="5.7101010101010097"/>
    <n v="0.17522123893805311"/>
  </r>
  <r>
    <x v="190"/>
    <s v="South"/>
    <s v="Social"/>
    <n v="5550"/>
    <n v="277"/>
    <n v="1290"/>
    <n v="6950"/>
    <n v="5273"/>
    <n v="4.0875968992248062"/>
    <n v="0.1856115107913669"/>
  </r>
  <r>
    <x v="191"/>
    <s v="North"/>
    <s v="Direct"/>
    <n v="6000"/>
    <n v="300"/>
    <n v="1000"/>
    <n v="5700"/>
    <n v="5700"/>
    <n v="5.7"/>
    <n v="0.17543859649122806"/>
  </r>
  <r>
    <x v="191"/>
    <s v="South"/>
    <s v="Social"/>
    <n v="5600"/>
    <n v="280"/>
    <n v="1300"/>
    <n v="7000"/>
    <n v="5320"/>
    <n v="4.092307692307692"/>
    <n v="0.18571428571428572"/>
  </r>
  <r>
    <x v="192"/>
    <s v="North"/>
    <s v="Direct"/>
    <n v="6050"/>
    <n v="302"/>
    <n v="1010"/>
    <n v="5750"/>
    <n v="5748"/>
    <n v="5.6910891089108908"/>
    <n v="0.17565217391304347"/>
  </r>
  <r>
    <x v="192"/>
    <s v="South"/>
    <s v="Social"/>
    <n v="5650"/>
    <n v="282"/>
    <n v="1310"/>
    <n v="7050"/>
    <n v="5368"/>
    <n v="4.0977099236641221"/>
    <n v="0.18581560283687942"/>
  </r>
  <r>
    <x v="193"/>
    <s v="North"/>
    <s v="Direct"/>
    <n v="6100"/>
    <n v="305"/>
    <n v="1020"/>
    <n v="5800"/>
    <n v="5795"/>
    <n v="5.6813725490196081"/>
    <n v="0.17586206896551723"/>
  </r>
  <r>
    <x v="193"/>
    <s v="South"/>
    <s v="Social"/>
    <n v="5700"/>
    <n v="285"/>
    <n v="1320"/>
    <n v="7100"/>
    <n v="5415"/>
    <n v="4.1022727272727275"/>
    <n v="0.18591549295774648"/>
  </r>
  <r>
    <x v="194"/>
    <s v="North"/>
    <s v="Direct"/>
    <n v="6150"/>
    <n v="307"/>
    <n v="1030"/>
    <n v="5850"/>
    <n v="5843"/>
    <n v="5.6728155339805824"/>
    <n v="0.17606837606837608"/>
  </r>
  <r>
    <x v="194"/>
    <s v="South"/>
    <s v="Social"/>
    <n v="5750"/>
    <n v="287"/>
    <n v="1330"/>
    <n v="7150"/>
    <n v="5463"/>
    <n v="4.1075187969924816"/>
    <n v="0.18601398601398603"/>
  </r>
  <r>
    <x v="195"/>
    <s v="North"/>
    <s v="Direct"/>
    <n v="6200"/>
    <n v="310"/>
    <n v="1040"/>
    <n v="5900"/>
    <n v="5890"/>
    <n v="5.6634615384615383"/>
    <n v="0.17627118644067796"/>
  </r>
  <r>
    <x v="195"/>
    <s v="South"/>
    <s v="Social"/>
    <n v="5800"/>
    <n v="290"/>
    <n v="1340"/>
    <n v="7200"/>
    <n v="5510"/>
    <n v="4.1119402985074629"/>
    <n v="0.18611111111111112"/>
  </r>
  <r>
    <x v="196"/>
    <s v="North"/>
    <s v="Direct"/>
    <n v="6250"/>
    <n v="312"/>
    <n v="1050"/>
    <n v="5950"/>
    <n v="5938"/>
    <n v="5.6552380952380954"/>
    <n v="0.17647058823529413"/>
  </r>
  <r>
    <x v="196"/>
    <s v="South"/>
    <s v="Social"/>
    <n v="5850"/>
    <n v="292"/>
    <n v="1350"/>
    <n v="7250"/>
    <n v="5558"/>
    <n v="4.1170370370370373"/>
    <n v="0.18620689655172415"/>
  </r>
  <r>
    <x v="197"/>
    <s v="North"/>
    <s v="Direct"/>
    <n v="6300"/>
    <n v="315"/>
    <n v="1060"/>
    <n v="6000"/>
    <n v="5985"/>
    <n v="5.6462264150943398"/>
    <n v="0.17666666666666667"/>
  </r>
  <r>
    <x v="197"/>
    <s v="South"/>
    <s v="Social"/>
    <n v="5900"/>
    <n v="295"/>
    <n v="1360"/>
    <n v="7300"/>
    <n v="5605"/>
    <n v="4.1213235294117645"/>
    <n v="0.18630136986301371"/>
  </r>
  <r>
    <x v="198"/>
    <s v="North"/>
    <s v="Direct"/>
    <n v="6350"/>
    <n v="317"/>
    <n v="1070"/>
    <n v="6050"/>
    <n v="6033"/>
    <n v="5.6383177570093457"/>
    <n v="0.17685950413223139"/>
  </r>
  <r>
    <x v="198"/>
    <s v="South"/>
    <s v="Social"/>
    <n v="5950"/>
    <n v="297"/>
    <n v="1370"/>
    <n v="7350"/>
    <n v="5653"/>
    <n v="4.1262773722627735"/>
    <n v="0.18639455782312925"/>
  </r>
  <r>
    <x v="199"/>
    <s v="North"/>
    <s v="Direct"/>
    <n v="6400"/>
    <n v="320"/>
    <n v="1080"/>
    <n v="6100"/>
    <n v="6080"/>
    <n v="5.6296296296296298"/>
    <n v="0.17704918032786884"/>
  </r>
  <r>
    <x v="199"/>
    <s v="South"/>
    <s v="Social"/>
    <n v="6000"/>
    <n v="300"/>
    <n v="1380"/>
    <n v="7400"/>
    <n v="5700"/>
    <n v="4.1304347826086953"/>
    <n v="0.1864864864864865"/>
  </r>
  <r>
    <x v="200"/>
    <s v="North"/>
    <s v="Direct"/>
    <n v="6450"/>
    <n v="322"/>
    <n v="1090"/>
    <n v="6150"/>
    <n v="6128"/>
    <n v="5.6220183486238531"/>
    <n v="0.17723577235772359"/>
  </r>
  <r>
    <x v="200"/>
    <s v="South"/>
    <s v="Social"/>
    <n v="6050"/>
    <n v="302"/>
    <n v="1390"/>
    <n v="7450"/>
    <n v="5748"/>
    <n v="4.1352517985611508"/>
    <n v="0.18657718120805369"/>
  </r>
  <r>
    <x v="201"/>
    <s v="North"/>
    <s v="Direct"/>
    <n v="6500"/>
    <n v="325"/>
    <n v="1100"/>
    <n v="6200"/>
    <n v="6175"/>
    <n v="5.6136363636363633"/>
    <n v="0.17741935483870969"/>
  </r>
  <r>
    <x v="201"/>
    <s v="South"/>
    <s v="Social"/>
    <n v="6100"/>
    <n v="305"/>
    <n v="1400"/>
    <n v="7500"/>
    <n v="5795"/>
    <n v="4.1392857142857142"/>
    <n v="0.18666666666666668"/>
  </r>
  <r>
    <x v="202"/>
    <s v="North"/>
    <s v="Direct"/>
    <n v="6550"/>
    <n v="327"/>
    <n v="1110"/>
    <n v="6250"/>
    <n v="6223"/>
    <n v="5.6063063063063066"/>
    <n v="0.17760000000000001"/>
  </r>
  <r>
    <x v="202"/>
    <s v="South"/>
    <s v="Social"/>
    <n v="6150"/>
    <n v="307"/>
    <n v="1410"/>
    <n v="7550"/>
    <n v="5843"/>
    <n v="4.143971631205674"/>
    <n v="0.18675496688741722"/>
  </r>
  <r>
    <x v="203"/>
    <s v="North"/>
    <s v="Direct"/>
    <n v="6600"/>
    <n v="330"/>
    <n v="1120"/>
    <n v="6300"/>
    <n v="6270"/>
    <n v="5.5982142857142856"/>
    <n v="0.17777777777777778"/>
  </r>
  <r>
    <x v="203"/>
    <s v="South"/>
    <s v="Social"/>
    <n v="6200"/>
    <n v="310"/>
    <n v="1420"/>
    <n v="7600"/>
    <n v="5890"/>
    <n v="4.147887323943662"/>
    <n v="0.18684210526315789"/>
  </r>
  <r>
    <x v="204"/>
    <s v="North"/>
    <s v="Direct"/>
    <n v="6650"/>
    <n v="332"/>
    <n v="1130"/>
    <n v="6350"/>
    <n v="6318"/>
    <n v="5.5911504424778764"/>
    <n v="0.17795275590551182"/>
  </r>
  <r>
    <x v="204"/>
    <s v="South"/>
    <s v="Social"/>
    <n v="6250"/>
    <n v="312"/>
    <n v="1430"/>
    <n v="7650"/>
    <n v="5938"/>
    <n v="4.1524475524475521"/>
    <n v="0.1869281045751634"/>
  </r>
  <r>
    <x v="205"/>
    <s v="North"/>
    <s v="Direct"/>
    <n v="6700"/>
    <n v="335"/>
    <n v="1140"/>
    <n v="6400"/>
    <n v="6365"/>
    <n v="5.583333333333333"/>
    <n v="0.17812500000000001"/>
  </r>
  <r>
    <x v="205"/>
    <s v="South"/>
    <s v="Social"/>
    <n v="6300"/>
    <n v="315"/>
    <n v="1440"/>
    <n v="7700"/>
    <n v="5985"/>
    <n v="4.15625"/>
    <n v="0.18701298701298702"/>
  </r>
  <r>
    <x v="206"/>
    <s v="North"/>
    <s v="Direct"/>
    <n v="6750"/>
    <n v="337"/>
    <n v="1150"/>
    <n v="6450"/>
    <n v="6413"/>
    <n v="5.5765217391304347"/>
    <n v="0.17829457364341086"/>
  </r>
  <r>
    <x v="206"/>
    <s v="South"/>
    <s v="Social"/>
    <n v="6350"/>
    <n v="317"/>
    <n v="1450"/>
    <n v="7750"/>
    <n v="6033"/>
    <n v="4.1606896551724137"/>
    <n v="0.18709677419354839"/>
  </r>
  <r>
    <x v="207"/>
    <s v="North"/>
    <s v="Direct"/>
    <n v="6800"/>
    <n v="340"/>
    <n v="1160"/>
    <n v="6500"/>
    <n v="6460"/>
    <n v="5.568965517241379"/>
    <n v="0.17846153846153845"/>
  </r>
  <r>
    <x v="207"/>
    <s v="South"/>
    <s v="Social"/>
    <n v="6400"/>
    <n v="320"/>
    <n v="1460"/>
    <n v="7800"/>
    <n v="6080"/>
    <n v="4.1643835616438354"/>
    <n v="0.18717948717948718"/>
  </r>
  <r>
    <x v="208"/>
    <s v="North"/>
    <s v="Direct"/>
    <n v="6850"/>
    <n v="342"/>
    <n v="1170"/>
    <n v="6550"/>
    <n v="6508"/>
    <n v="5.5623931623931622"/>
    <n v="0.17862595419847327"/>
  </r>
  <r>
    <x v="208"/>
    <s v="South"/>
    <s v="Social"/>
    <n v="6450"/>
    <n v="322"/>
    <n v="1470"/>
    <n v="7850"/>
    <n v="6128"/>
    <n v="4.1687074829931969"/>
    <n v="0.18726114649681527"/>
  </r>
  <r>
    <x v="209"/>
    <s v="North"/>
    <s v="Direct"/>
    <n v="6900"/>
    <n v="345"/>
    <n v="1180"/>
    <n v="6600"/>
    <n v="6555"/>
    <n v="5.5550847457627119"/>
    <n v="0.1787878787878788"/>
  </r>
  <r>
    <x v="209"/>
    <s v="South"/>
    <s v="Social"/>
    <n v="6500"/>
    <n v="325"/>
    <n v="1480"/>
    <n v="7900"/>
    <n v="6175"/>
    <n v="4.1722972972972974"/>
    <n v="0.18734177215189873"/>
  </r>
  <r>
    <x v="210"/>
    <s v="North"/>
    <s v="Direct"/>
    <n v="6950"/>
    <n v="347"/>
    <n v="1190"/>
    <n v="6650"/>
    <n v="6603"/>
    <n v="5.5487394957983192"/>
    <n v="0.17894736842105263"/>
  </r>
  <r>
    <x v="210"/>
    <s v="South"/>
    <s v="Social"/>
    <n v="6550"/>
    <n v="327"/>
    <n v="1490"/>
    <n v="7950"/>
    <n v="6223"/>
    <n v="4.1765100671140942"/>
    <n v="0.18742138364779873"/>
  </r>
  <r>
    <x v="211"/>
    <s v="North"/>
    <s v="Direct"/>
    <n v="7000"/>
    <n v="350"/>
    <n v="1200"/>
    <n v="6700"/>
    <n v="6650"/>
    <n v="5.541666666666667"/>
    <n v="0.17910447761194029"/>
  </r>
  <r>
    <x v="211"/>
    <s v="South"/>
    <s v="Social"/>
    <n v="6600"/>
    <n v="330"/>
    <n v="1500"/>
    <n v="8000"/>
    <n v="6270"/>
    <n v="4.18"/>
    <n v="0.1875"/>
  </r>
  <r>
    <x v="212"/>
    <s v="North"/>
    <s v="Direct"/>
    <n v="7050"/>
    <n v="352"/>
    <n v="1210"/>
    <n v="6750"/>
    <n v="6698"/>
    <n v="5.5355371900826444"/>
    <n v="0.17925925925925926"/>
  </r>
  <r>
    <x v="212"/>
    <s v="South"/>
    <s v="Social"/>
    <n v="6650"/>
    <n v="332"/>
    <n v="1510"/>
    <n v="8050"/>
    <n v="6318"/>
    <n v="4.1841059602649002"/>
    <n v="0.18757763975155278"/>
  </r>
  <r>
    <x v="213"/>
    <s v="North"/>
    <s v="Direct"/>
    <n v="7100"/>
    <n v="355"/>
    <n v="1220"/>
    <n v="6800"/>
    <n v="6745"/>
    <n v="5.528688524590164"/>
    <n v="0.17941176470588235"/>
  </r>
  <r>
    <x v="213"/>
    <s v="South"/>
    <s v="Social"/>
    <n v="6700"/>
    <n v="335"/>
    <n v="1520"/>
    <n v="8100"/>
    <n v="6365"/>
    <n v="4.1875"/>
    <n v="0.18765432098765433"/>
  </r>
  <r>
    <x v="214"/>
    <s v="North"/>
    <s v="Direct"/>
    <n v="7150"/>
    <n v="357"/>
    <n v="1230"/>
    <n v="6850"/>
    <n v="6793"/>
    <n v="5.5227642276422761"/>
    <n v="0.17956204379562044"/>
  </r>
  <r>
    <x v="214"/>
    <s v="South"/>
    <s v="Social"/>
    <n v="6750"/>
    <n v="337"/>
    <n v="1530"/>
    <n v="8150"/>
    <n v="6413"/>
    <n v="4.1915032679738564"/>
    <n v="0.18773006134969325"/>
  </r>
  <r>
    <x v="215"/>
    <s v="North"/>
    <s v="Direct"/>
    <n v="7200"/>
    <n v="360"/>
    <n v="1240"/>
    <n v="6900"/>
    <n v="6840"/>
    <n v="5.5161290322580649"/>
    <n v="0.17971014492753623"/>
  </r>
  <r>
    <x v="215"/>
    <s v="South"/>
    <s v="Social"/>
    <n v="6800"/>
    <n v="340"/>
    <n v="1540"/>
    <n v="8200"/>
    <n v="6460"/>
    <n v="4.1948051948051948"/>
    <n v="0.18780487804878049"/>
  </r>
  <r>
    <x v="216"/>
    <s v="North"/>
    <s v="Direct"/>
    <n v="7250"/>
    <n v="362"/>
    <n v="1250"/>
    <n v="6950"/>
    <n v="6888"/>
    <n v="5.5103999999999997"/>
    <n v="0.17985611510791366"/>
  </r>
  <r>
    <x v="216"/>
    <s v="South"/>
    <s v="Social"/>
    <n v="6850"/>
    <n v="342"/>
    <n v="1550"/>
    <n v="8250"/>
    <n v="6508"/>
    <n v="4.1987096774193544"/>
    <n v="0.18787878787878787"/>
  </r>
  <r>
    <x v="217"/>
    <s v="North"/>
    <s v="Direct"/>
    <n v="7300"/>
    <n v="365"/>
    <n v="1260"/>
    <n v="7000"/>
    <n v="6935"/>
    <n v="5.503968253968254"/>
    <n v="0.18"/>
  </r>
  <r>
    <x v="217"/>
    <s v="South"/>
    <s v="Social"/>
    <n v="6900"/>
    <n v="345"/>
    <n v="1560"/>
    <n v="8300"/>
    <n v="6555"/>
    <n v="4.2019230769230766"/>
    <n v="0.18795180722891566"/>
  </r>
  <r>
    <x v="218"/>
    <s v="North"/>
    <s v="Direct"/>
    <n v="7350"/>
    <n v="367"/>
    <n v="1270"/>
    <n v="7050"/>
    <n v="6983"/>
    <n v="5.4984251968503939"/>
    <n v="0.18014184397163122"/>
  </r>
  <r>
    <x v="218"/>
    <s v="South"/>
    <s v="Social"/>
    <n v="6950"/>
    <n v="347"/>
    <n v="1570"/>
    <n v="8350"/>
    <n v="6603"/>
    <n v="4.2057324840764334"/>
    <n v="0.18802395209580838"/>
  </r>
  <r>
    <x v="219"/>
    <s v="North"/>
    <s v="Direct"/>
    <n v="7400"/>
    <n v="370"/>
    <n v="1280"/>
    <n v="7100"/>
    <n v="7030"/>
    <n v="5.4921875"/>
    <n v="0.18028169014084508"/>
  </r>
  <r>
    <x v="219"/>
    <s v="South"/>
    <s v="Social"/>
    <n v="7000"/>
    <n v="350"/>
    <n v="1580"/>
    <n v="8400"/>
    <n v="6650"/>
    <n v="4.2088607594936711"/>
    <n v="0.18809523809523809"/>
  </r>
  <r>
    <x v="220"/>
    <s v="North"/>
    <s v="Direct"/>
    <n v="7450"/>
    <n v="372"/>
    <n v="1290"/>
    <n v="7150"/>
    <n v="7078"/>
    <n v="5.4868217054263564"/>
    <n v="0.18041958041958042"/>
  </r>
  <r>
    <x v="220"/>
    <s v="South"/>
    <s v="Social"/>
    <n v="7050"/>
    <n v="352"/>
    <n v="1590"/>
    <n v="8450"/>
    <n v="6698"/>
    <n v="4.212578616352201"/>
    <n v="0.18816568047337279"/>
  </r>
  <r>
    <x v="221"/>
    <s v="North"/>
    <s v="Direct"/>
    <n v="7500"/>
    <n v="375"/>
    <n v="1300"/>
    <n v="7200"/>
    <n v="7125"/>
    <n v="5.4807692307692308"/>
    <n v="0.18055555555555555"/>
  </r>
  <r>
    <x v="221"/>
    <s v="South"/>
    <s v="Social"/>
    <n v="7100"/>
    <n v="355"/>
    <n v="1600"/>
    <n v="8500"/>
    <n v="6745"/>
    <n v="4.2156250000000002"/>
    <n v="0.18823529411764706"/>
  </r>
  <r>
    <x v="222"/>
    <s v="North"/>
    <s v="Direct"/>
    <n v="7550"/>
    <n v="377"/>
    <n v="1310"/>
    <n v="7250"/>
    <n v="7173"/>
    <n v="5.4755725190839692"/>
    <n v="0.18068965517241378"/>
  </r>
  <r>
    <x v="222"/>
    <s v="South"/>
    <s v="Social"/>
    <n v="7150"/>
    <n v="357"/>
    <n v="1610"/>
    <n v="8550"/>
    <n v="6793"/>
    <n v="4.2192546583850934"/>
    <n v="0.18830409356725147"/>
  </r>
  <r>
    <x v="223"/>
    <s v="North"/>
    <s v="Direct"/>
    <n v="7600"/>
    <n v="380"/>
    <n v="1320"/>
    <n v="7300"/>
    <n v="7220"/>
    <n v="5.4696969696969697"/>
    <n v="0.18082191780821918"/>
  </r>
  <r>
    <x v="223"/>
    <s v="South"/>
    <s v="Social"/>
    <n v="7200"/>
    <n v="360"/>
    <n v="1620"/>
    <n v="8600"/>
    <n v="6840"/>
    <n v="4.2222222222222223"/>
    <n v="0.1883720930232558"/>
  </r>
  <r>
    <x v="224"/>
    <s v="North"/>
    <s v="Direct"/>
    <n v="7650"/>
    <n v="382"/>
    <n v="1330"/>
    <n v="7350"/>
    <n v="7268"/>
    <n v="5.4646616541353383"/>
    <n v="0.18095238095238095"/>
  </r>
  <r>
    <x v="224"/>
    <s v="South"/>
    <s v="Social"/>
    <n v="7250"/>
    <n v="362"/>
    <n v="1630"/>
    <n v="8650"/>
    <n v="6888"/>
    <n v="4.2257668711656438"/>
    <n v="0.18843930635838149"/>
  </r>
  <r>
    <x v="225"/>
    <s v="North"/>
    <s v="Direct"/>
    <n v="7700"/>
    <n v="385"/>
    <n v="1340"/>
    <n v="7400"/>
    <n v="7315"/>
    <n v="5.4589552238805972"/>
    <n v="0.18108108108108109"/>
  </r>
  <r>
    <x v="225"/>
    <s v="South"/>
    <s v="Social"/>
    <n v="7300"/>
    <n v="365"/>
    <n v="1640"/>
    <n v="8700"/>
    <n v="6935"/>
    <n v="4.2286585365853657"/>
    <n v="0.18850574712643678"/>
  </r>
  <r>
    <x v="226"/>
    <s v="North"/>
    <s v="Direct"/>
    <n v="7750"/>
    <n v="387"/>
    <n v="1350"/>
    <n v="7450"/>
    <n v="7363"/>
    <n v="5.4540740740740743"/>
    <n v="0.18120805369127516"/>
  </r>
  <r>
    <x v="226"/>
    <s v="South"/>
    <s v="Social"/>
    <n v="7350"/>
    <n v="367"/>
    <n v="1650"/>
    <n v="8750"/>
    <n v="6983"/>
    <n v="4.2321212121212124"/>
    <n v="0.18857142857142858"/>
  </r>
  <r>
    <x v="227"/>
    <s v="North"/>
    <s v="Direct"/>
    <n v="7800"/>
    <n v="390"/>
    <n v="1360"/>
    <n v="7500"/>
    <n v="7410"/>
    <n v="5.4485294117647056"/>
    <n v="0.18133333333333335"/>
  </r>
  <r>
    <x v="227"/>
    <s v="South"/>
    <s v="Social"/>
    <n v="7400"/>
    <n v="370"/>
    <n v="1660"/>
    <n v="8800"/>
    <n v="7030"/>
    <n v="4.2349397590361448"/>
    <n v="0.18863636363636363"/>
  </r>
  <r>
    <x v="228"/>
    <s v="North"/>
    <s v="Direct"/>
    <n v="7850"/>
    <n v="392"/>
    <n v="1370"/>
    <n v="7550"/>
    <n v="7458"/>
    <n v="5.4437956204379558"/>
    <n v="0.18145695364238409"/>
  </r>
  <r>
    <x v="228"/>
    <s v="South"/>
    <s v="Social"/>
    <n v="7450"/>
    <n v="372"/>
    <n v="1670"/>
    <n v="8850"/>
    <n v="7078"/>
    <n v="4.2383233532934135"/>
    <n v="0.18870056497175142"/>
  </r>
  <r>
    <x v="229"/>
    <s v="North"/>
    <s v="Direct"/>
    <n v="7900"/>
    <n v="395"/>
    <n v="1380"/>
    <n v="7600"/>
    <n v="7505"/>
    <n v="5.4384057971014492"/>
    <n v="0.18157894736842106"/>
  </r>
  <r>
    <x v="229"/>
    <s v="South"/>
    <s v="Social"/>
    <n v="7500"/>
    <n v="375"/>
    <n v="1680"/>
    <n v="8900"/>
    <n v="7125"/>
    <n v="4.2410714285714288"/>
    <n v="0.18876404494382024"/>
  </r>
  <r>
    <x v="230"/>
    <s v="North"/>
    <s v="Direct"/>
    <n v="7950"/>
    <n v="397"/>
    <n v="1390"/>
    <n v="7650"/>
    <n v="7553"/>
    <n v="5.4338129496402878"/>
    <n v="0.18169934640522875"/>
  </r>
  <r>
    <x v="230"/>
    <s v="South"/>
    <s v="Social"/>
    <n v="7550"/>
    <n v="377"/>
    <n v="1690"/>
    <n v="8950"/>
    <n v="7173"/>
    <n v="4.2443786982248524"/>
    <n v="0.1888268156424581"/>
  </r>
  <r>
    <x v="231"/>
    <s v="North"/>
    <s v="Direct"/>
    <n v="8000"/>
    <n v="400"/>
    <n v="1400"/>
    <n v="7700"/>
    <n v="7600"/>
    <n v="5.4285714285714288"/>
    <n v="0.18181818181818182"/>
  </r>
  <r>
    <x v="231"/>
    <s v="South"/>
    <s v="Social"/>
    <n v="7600"/>
    <n v="380"/>
    <n v="1700"/>
    <n v="9000"/>
    <n v="7220"/>
    <n v="4.2470588235294118"/>
    <n v="0.18888888888888888"/>
  </r>
  <r>
    <x v="232"/>
    <s v="North"/>
    <s v="Direct"/>
    <n v="8050"/>
    <n v="402"/>
    <n v="1410"/>
    <n v="7750"/>
    <n v="7648"/>
    <n v="5.4241134751773048"/>
    <n v="0.18193548387096775"/>
  </r>
  <r>
    <x v="232"/>
    <s v="South"/>
    <s v="Social"/>
    <n v="7650"/>
    <n v="382"/>
    <n v="1710"/>
    <n v="9050"/>
    <n v="7268"/>
    <n v="4.2502923976608189"/>
    <n v="0.18895027624309393"/>
  </r>
  <r>
    <x v="233"/>
    <s v="North"/>
    <s v="Direct"/>
    <n v="8100"/>
    <n v="405"/>
    <n v="1420"/>
    <n v="7800"/>
    <n v="7695"/>
    <n v="5.419014084507042"/>
    <n v="0.18205128205128204"/>
  </r>
  <r>
    <x v="233"/>
    <s v="South"/>
    <s v="Social"/>
    <n v="7700"/>
    <n v="385"/>
    <n v="1720"/>
    <n v="9100"/>
    <n v="7315"/>
    <n v="4.2529069767441863"/>
    <n v="0.18901098901098901"/>
  </r>
  <r>
    <x v="234"/>
    <s v="North"/>
    <s v="Direct"/>
    <n v="8150"/>
    <n v="407"/>
    <n v="1430"/>
    <n v="7850"/>
    <n v="7743"/>
    <n v="5.4146853146853147"/>
    <n v="0.18216560509554139"/>
  </r>
  <r>
    <x v="234"/>
    <s v="South"/>
    <s v="Social"/>
    <n v="7750"/>
    <n v="387"/>
    <n v="1730"/>
    <n v="9150"/>
    <n v="7363"/>
    <n v="4.2560693641618501"/>
    <n v="0.18907103825136612"/>
  </r>
  <r>
    <x v="235"/>
    <s v="North"/>
    <s v="Direct"/>
    <n v="8200"/>
    <n v="410"/>
    <n v="1440"/>
    <n v="7900"/>
    <n v="7790"/>
    <n v="5.4097222222222223"/>
    <n v="0.18227848101265823"/>
  </r>
  <r>
    <x v="235"/>
    <s v="South"/>
    <s v="Social"/>
    <n v="7800"/>
    <n v="390"/>
    <n v="1740"/>
    <n v="9200"/>
    <n v="7410"/>
    <n v="4.2586206896551726"/>
    <n v="0.18913043478260869"/>
  </r>
  <r>
    <x v="236"/>
    <s v="North"/>
    <s v="Direct"/>
    <n v="8250"/>
    <n v="412"/>
    <n v="1450"/>
    <n v="7950"/>
    <n v="7838"/>
    <n v="5.40551724137931"/>
    <n v="0.18238993710691823"/>
  </r>
  <r>
    <x v="236"/>
    <s v="South"/>
    <s v="Social"/>
    <n v="7850"/>
    <n v="392"/>
    <n v="1750"/>
    <n v="9250"/>
    <n v="7458"/>
    <n v="4.2617142857142856"/>
    <n v="0.1891891891891892"/>
  </r>
  <r>
    <x v="237"/>
    <s v="North"/>
    <s v="Direct"/>
    <n v="8300"/>
    <n v="415"/>
    <n v="1460"/>
    <n v="8000"/>
    <n v="7885"/>
    <n v="5.4006849315068495"/>
    <n v="0.1825"/>
  </r>
  <r>
    <x v="237"/>
    <s v="South"/>
    <s v="Social"/>
    <n v="7900"/>
    <n v="395"/>
    <n v="1760"/>
    <n v="9300"/>
    <n v="7505"/>
    <n v="4.2642045454545459"/>
    <n v="0.18924731182795698"/>
  </r>
  <r>
    <x v="238"/>
    <s v="North"/>
    <s v="Direct"/>
    <n v="8350"/>
    <n v="417"/>
    <n v="1470"/>
    <n v="8050"/>
    <n v="7933"/>
    <n v="5.3965986394557826"/>
    <n v="0.18260869565217391"/>
  </r>
  <r>
    <x v="238"/>
    <s v="South"/>
    <s v="Social"/>
    <n v="7950"/>
    <n v="397"/>
    <n v="1770"/>
    <n v="9350"/>
    <n v="7553"/>
    <n v="4.2672316384180791"/>
    <n v="0.1893048128342246"/>
  </r>
  <r>
    <x v="239"/>
    <s v="North"/>
    <s v="Direct"/>
    <n v="6200"/>
    <n v="310"/>
    <n v="1100"/>
    <n v="5800"/>
    <n v="5890"/>
    <n v="5.3545454545454545"/>
    <n v="0.18965517241379309"/>
  </r>
  <r>
    <x v="239"/>
    <s v="South"/>
    <s v="Social"/>
    <n v="5900"/>
    <n v="295"/>
    <n v="1400"/>
    <n v="7200"/>
    <n v="5605"/>
    <n v="4.003571428571429"/>
    <n v="0.19444444444444445"/>
  </r>
  <r>
    <x v="240"/>
    <s v="North"/>
    <s v="Direct"/>
    <n v="6400"/>
    <n v="320"/>
    <n v="1150"/>
    <n v="5900"/>
    <n v="6080"/>
    <n v="5.2869565217391301"/>
    <n v="0.19491525423728814"/>
  </r>
  <r>
    <x v="240"/>
    <s v="South"/>
    <s v="Social"/>
    <n v="6100"/>
    <n v="305"/>
    <n v="1450"/>
    <n v="7400"/>
    <n v="5795"/>
    <n v="3.9965517241379311"/>
    <n v="0.19594594594594594"/>
  </r>
  <r>
    <x v="241"/>
    <s v="North"/>
    <s v="Direct"/>
    <n v="6500"/>
    <n v="325"/>
    <n v="1200"/>
    <n v="6000"/>
    <n v="6175"/>
    <n v="5.145833333333333"/>
    <n v="0.2"/>
  </r>
  <r>
    <x v="241"/>
    <s v="South"/>
    <s v="Social"/>
    <n v="6200"/>
    <n v="310"/>
    <n v="1500"/>
    <n v="7500"/>
    <n v="5890"/>
    <n v="3.9266666666666667"/>
    <n v="0.2"/>
  </r>
  <r>
    <x v="242"/>
    <s v="North"/>
    <s v="Direct"/>
    <n v="6600"/>
    <n v="330"/>
    <n v="1250"/>
    <n v="6100"/>
    <n v="6270"/>
    <n v="5.016"/>
    <n v="0.20491803278688525"/>
  </r>
  <r>
    <x v="242"/>
    <s v="South"/>
    <s v="Social"/>
    <n v="6300"/>
    <n v="315"/>
    <n v="1550"/>
    <n v="7600"/>
    <n v="5985"/>
    <n v="3.8612903225806452"/>
    <n v="0.203947368421052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70953-FC54-4112-82BD-21812BCE7EB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Month">
  <location ref="A3:G11" firstHeaderRow="0" firstDataRow="1" firstDataCol="1"/>
  <pivotFields count="13">
    <pivotField axis="axisRow" numFmtId="1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numFmtId="2" showAll="0"/>
    <pivotField numFmtId="2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2">
    <field x="11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Monthly_Net Revenue" fld="7" baseField="0" baseItem="0"/>
    <dataField name="Monthly_Marketing_Spend" fld="5" baseField="0" baseItem="0"/>
    <dataField name="MoM_Net Revenue_Growth" fld="7" showDataAs="percentDiff" baseField="11" baseItem="1048828" numFmtId="10"/>
    <dataField name="MoM_Marketing_Spend_Growth" fld="5" showDataAs="percentDiff" baseField="11" baseItem="1048828" numFmtId="10"/>
    <dataField name="Monthly_ROI" fld="12" baseField="11" baseItem="1" numFmtId="2"/>
    <dataField name="Monthly_Refunds" fld="4" baseField="0" baseItem="0"/>
  </dataFields>
  <formats count="2">
    <format dxfId="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1DFCF-5E87-4B19-AFE2-DD3A51908DFF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Month">
  <location ref="A1:C9" firstHeaderRow="0" firstDataRow="1" firstDataCol="1"/>
  <pivotFields count="13">
    <pivotField axis="axisRow" numFmtId="1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numFmtId="2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ataField="1" dragToRow="0" dragToCol="0" dragToPage="0" showAll="0" defaultSubtotal="0"/>
  </pivotFields>
  <rowFields count="2">
    <field x="11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Monthly_Net_Revenue" fld="7" baseField="0" baseItem="0"/>
    <dataField name="Monthly_ROI" fld="12" baseField="11" baseItem="1" numFmtId="2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99CE2-3EA2-4C0F-AFB8-50D40C2306B7}" name="Table2" displayName="Table2" ref="A1:C9" totalsRowShown="0">
  <autoFilter ref="A1:C9" xr:uid="{81D99CE2-3EA2-4C0F-AFB8-50D40C2306B7}"/>
  <tableColumns count="3">
    <tableColumn id="1" xr3:uid="{C7915844-24C7-45E3-972E-F4EDAA33A377}" name="Month"/>
    <tableColumn id="2" xr3:uid="{4FE33452-348D-4465-A4D1-701CF4A7F5A7}" name="Monthly_Web_Traffic"/>
    <tableColumn id="3" xr3:uid="{74694605-CFB0-4C62-96ED-BDB8C7249A6B}" name="Monthly_Gross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0891B-33F3-4AC5-8291-D55C8FFB4DC4}" name="Table1" displayName="Table1" ref="A1:J487" totalsRowShown="0">
  <autoFilter ref="A1:J487" xr:uid="{DA80891B-33F3-4AC5-8291-D55C8FFB4DC4}"/>
  <tableColumns count="10">
    <tableColumn id="1" xr3:uid="{B1206731-2839-45D6-9974-A61CB919AB00}" name="Date" dataDxfId="3"/>
    <tableColumn id="2" xr3:uid="{C63CAF88-8D0A-413D-86E8-E3518DE79B7A}" name="Region"/>
    <tableColumn id="3" xr3:uid="{EDCFF862-A975-4698-97C9-9159D08245BA}" name="Channel"/>
    <tableColumn id="4" xr3:uid="{6F10F086-49CD-463C-80A1-A04E2DAF8B76}" name="Gross_Revenue"/>
    <tableColumn id="5" xr3:uid="{4112FD80-37C3-4CED-9F3A-C6DBF93D12EF}" name="Refunds"/>
    <tableColumn id="6" xr3:uid="{729B1952-B570-4FE3-B25A-BD0D379D9999}" name="Marketing_Spend"/>
    <tableColumn id="7" xr3:uid="{5658C241-ABC1-4EC5-9524-EFFB85AE525B}" name="Web_Traffic"/>
    <tableColumn id="8" xr3:uid="{60EA7E02-5B3A-4B3D-B1B7-4834ACBB7AFB}" name="Net Revenue" dataDxfId="2">
      <calculatedColumnFormula xml:space="preserve"> Table1[[#This Row],[Gross_Revenue]]-Table1[[#This Row],[Refunds]]</calculatedColumnFormula>
    </tableColumn>
    <tableColumn id="9" xr3:uid="{B6AC50D1-1F01-43E4-BFFD-C5DFFC665B88}" name="ROI" dataDxfId="1">
      <calculatedColumnFormula xml:space="preserve"> Table1[[#This Row],[Net Revenue]]/Table1[[#This Row],[Marketing_Spend]]</calculatedColumnFormula>
    </tableColumn>
    <tableColumn id="10" xr3:uid="{B66CD0E9-E673-4962-9F0F-7E899DEB7166}" name="CPA" dataDxfId="0">
      <calculatedColumnFormula>Table1[[#This Row],[Marketing_Spend]]/Table1[[#This Row],[Web_Traffic]]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421A-1573-47D8-8E85-C0B63C99B168}">
  <dimension ref="A1"/>
  <sheetViews>
    <sheetView showGridLines="0" tabSelected="1" workbookViewId="0">
      <selection activeCell="W27" sqref="W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FA4B-EF1B-4B78-9A1F-42DE65345624}">
  <dimension ref="A3:G11"/>
  <sheetViews>
    <sheetView workbookViewId="0">
      <selection activeCell="M26" sqref="M26"/>
    </sheetView>
  </sheetViews>
  <sheetFormatPr defaultRowHeight="14.4" x14ac:dyDescent="0.3"/>
  <cols>
    <col min="1" max="1" width="9" bestFit="1" customWidth="1"/>
    <col min="2" max="2" width="20.6640625" bestFit="1" customWidth="1"/>
    <col min="3" max="3" width="24.5546875" bestFit="1" customWidth="1"/>
    <col min="4" max="4" width="25" bestFit="1" customWidth="1"/>
    <col min="5" max="5" width="29.33203125" bestFit="1" customWidth="1"/>
    <col min="6" max="6" width="12.21875" bestFit="1" customWidth="1"/>
    <col min="7" max="7" width="16.21875" bestFit="1" customWidth="1"/>
  </cols>
  <sheetData>
    <row r="3" spans="1:7" x14ac:dyDescent="0.3">
      <c r="A3" s="3" t="s">
        <v>22</v>
      </c>
      <c r="B3" t="s">
        <v>24</v>
      </c>
      <c r="C3" t="s">
        <v>23</v>
      </c>
      <c r="D3" t="s">
        <v>25</v>
      </c>
      <c r="E3" t="s">
        <v>26</v>
      </c>
      <c r="F3" s="2" t="s">
        <v>27</v>
      </c>
      <c r="G3" t="s">
        <v>28</v>
      </c>
    </row>
    <row r="4" spans="1:7" x14ac:dyDescent="0.3">
      <c r="A4" s="4" t="s">
        <v>14</v>
      </c>
      <c r="B4">
        <v>176874</v>
      </c>
      <c r="C4">
        <v>37040</v>
      </c>
      <c r="D4" s="5"/>
      <c r="E4" s="5"/>
      <c r="F4" s="2">
        <v>4.7752159827213827</v>
      </c>
      <c r="G4">
        <v>9226</v>
      </c>
    </row>
    <row r="5" spans="1:7" x14ac:dyDescent="0.3">
      <c r="A5" s="4" t="s">
        <v>15</v>
      </c>
      <c r="B5">
        <v>211484</v>
      </c>
      <c r="C5">
        <v>42560</v>
      </c>
      <c r="D5" s="5">
        <v>0.19567601795628525</v>
      </c>
      <c r="E5" s="5">
        <v>0.14902807775377969</v>
      </c>
      <c r="F5" s="2">
        <v>4.9690789473684207</v>
      </c>
      <c r="G5">
        <v>11116</v>
      </c>
    </row>
    <row r="6" spans="1:7" x14ac:dyDescent="0.3">
      <c r="A6" s="4" t="s">
        <v>16</v>
      </c>
      <c r="B6">
        <v>321020</v>
      </c>
      <c r="C6">
        <v>65410</v>
      </c>
      <c r="D6" s="5">
        <v>0.51793989143386732</v>
      </c>
      <c r="E6" s="5">
        <v>0.53688909774436089</v>
      </c>
      <c r="F6" s="2">
        <v>4.9078122611221522</v>
      </c>
      <c r="G6">
        <v>16880</v>
      </c>
    </row>
    <row r="7" spans="1:7" x14ac:dyDescent="0.3">
      <c r="A7" s="4" t="s">
        <v>17</v>
      </c>
      <c r="B7">
        <v>379240</v>
      </c>
      <c r="C7">
        <v>110300</v>
      </c>
      <c r="D7" s="5">
        <v>0.1813594168587627</v>
      </c>
      <c r="E7" s="5">
        <v>0.68628650053508633</v>
      </c>
      <c r="F7" s="2">
        <v>3.4382592928377154</v>
      </c>
      <c r="G7">
        <v>19960</v>
      </c>
    </row>
    <row r="8" spans="1:7" x14ac:dyDescent="0.3">
      <c r="A8" s="4" t="s">
        <v>18</v>
      </c>
      <c r="B8">
        <v>309240</v>
      </c>
      <c r="C8">
        <v>68200</v>
      </c>
      <c r="D8" s="5">
        <v>-0.18457968568716379</v>
      </c>
      <c r="E8" s="5">
        <v>-0.38168631006346326</v>
      </c>
      <c r="F8" s="2">
        <v>4.5343108504398826</v>
      </c>
      <c r="G8">
        <v>16260</v>
      </c>
    </row>
    <row r="9" spans="1:7" x14ac:dyDescent="0.3">
      <c r="A9" s="4" t="s">
        <v>19</v>
      </c>
      <c r="B9">
        <v>281786</v>
      </c>
      <c r="C9">
        <v>68320</v>
      </c>
      <c r="D9" s="5">
        <v>-8.8778941922131677E-2</v>
      </c>
      <c r="E9" s="5">
        <v>1.7595307917888563E-3</v>
      </c>
      <c r="F9" s="2">
        <v>4.1245023419203743</v>
      </c>
      <c r="G9">
        <v>77414</v>
      </c>
    </row>
    <row r="10" spans="1:7" x14ac:dyDescent="0.3">
      <c r="A10" s="4" t="s">
        <v>20</v>
      </c>
      <c r="B10">
        <v>356360</v>
      </c>
      <c r="C10">
        <v>74400</v>
      </c>
      <c r="D10" s="5">
        <v>0.26464764040796918</v>
      </c>
      <c r="E10" s="5">
        <v>8.899297423887588E-2</v>
      </c>
      <c r="F10" s="2">
        <v>4.7897849462365594</v>
      </c>
      <c r="G10">
        <v>18740</v>
      </c>
    </row>
    <row r="11" spans="1:7" x14ac:dyDescent="0.3">
      <c r="A11" s="4" t="s">
        <v>21</v>
      </c>
      <c r="B11">
        <v>432454</v>
      </c>
      <c r="C11">
        <v>91060</v>
      </c>
      <c r="D11" s="5">
        <v>0.21353126052306656</v>
      </c>
      <c r="E11" s="5">
        <v>0.22392473118279571</v>
      </c>
      <c r="F11" s="2">
        <v>4.7491104766088297</v>
      </c>
      <c r="G11">
        <v>22746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EDF9-197C-4A87-B3C6-8736F80108F8}">
  <dimension ref="A1"/>
  <sheetViews>
    <sheetView workbookViewId="0">
      <selection activeCell="U10" sqref="U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4640-BC47-42E5-B1F2-8F4453423BAA}">
  <dimension ref="A1:C9"/>
  <sheetViews>
    <sheetView workbookViewId="0">
      <selection activeCell="E7" sqref="E7"/>
    </sheetView>
  </sheetViews>
  <sheetFormatPr defaultRowHeight="14.4" x14ac:dyDescent="0.3"/>
  <cols>
    <col min="1" max="1" width="9" bestFit="1" customWidth="1"/>
    <col min="2" max="2" width="20.77734375" bestFit="1" customWidth="1"/>
    <col min="3" max="3" width="12.21875" bestFit="1" customWidth="1"/>
  </cols>
  <sheetData>
    <row r="1" spans="1:3" x14ac:dyDescent="0.3">
      <c r="A1" s="3" t="s">
        <v>22</v>
      </c>
      <c r="B1" t="s">
        <v>29</v>
      </c>
      <c r="C1" t="s">
        <v>27</v>
      </c>
    </row>
    <row r="2" spans="1:3" x14ac:dyDescent="0.3">
      <c r="A2" s="4" t="s">
        <v>14</v>
      </c>
      <c r="B2">
        <v>176874</v>
      </c>
      <c r="C2" s="2">
        <v>4.7752159827213827</v>
      </c>
    </row>
    <row r="3" spans="1:3" x14ac:dyDescent="0.3">
      <c r="A3" s="4" t="s">
        <v>15</v>
      </c>
      <c r="B3">
        <v>211484</v>
      </c>
      <c r="C3" s="2">
        <v>4.9690789473684207</v>
      </c>
    </row>
    <row r="4" spans="1:3" x14ac:dyDescent="0.3">
      <c r="A4" s="4" t="s">
        <v>16</v>
      </c>
      <c r="B4">
        <v>321020</v>
      </c>
      <c r="C4" s="2">
        <v>4.9078122611221522</v>
      </c>
    </row>
    <row r="5" spans="1:3" x14ac:dyDescent="0.3">
      <c r="A5" s="4" t="s">
        <v>17</v>
      </c>
      <c r="B5">
        <v>379240</v>
      </c>
      <c r="C5" s="2">
        <v>3.4382592928377154</v>
      </c>
    </row>
    <row r="6" spans="1:3" x14ac:dyDescent="0.3">
      <c r="A6" s="4" t="s">
        <v>18</v>
      </c>
      <c r="B6">
        <v>309240</v>
      </c>
      <c r="C6" s="2">
        <v>4.5343108504398826</v>
      </c>
    </row>
    <row r="7" spans="1:3" x14ac:dyDescent="0.3">
      <c r="A7" s="4" t="s">
        <v>19</v>
      </c>
      <c r="B7">
        <v>281786</v>
      </c>
      <c r="C7" s="2">
        <v>4.1245023419203743</v>
      </c>
    </row>
    <row r="8" spans="1:3" x14ac:dyDescent="0.3">
      <c r="A8" s="4" t="s">
        <v>20</v>
      </c>
      <c r="B8">
        <v>356360</v>
      </c>
      <c r="C8" s="2">
        <v>4.7897849462365594</v>
      </c>
    </row>
    <row r="9" spans="1:3" x14ac:dyDescent="0.3">
      <c r="A9" s="4" t="s">
        <v>21</v>
      </c>
      <c r="B9">
        <v>432454</v>
      </c>
      <c r="C9" s="2">
        <v>4.7491104766088297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8C1-CDB0-45EA-ACAC-B871952A1DCB}">
  <dimension ref="A1:C13"/>
  <sheetViews>
    <sheetView workbookViewId="0">
      <selection activeCell="B13" sqref="B13"/>
    </sheetView>
  </sheetViews>
  <sheetFormatPr defaultRowHeight="14.4" x14ac:dyDescent="0.3"/>
  <cols>
    <col min="1" max="1" width="8.6640625" customWidth="1"/>
    <col min="2" max="2" width="21.33203125" customWidth="1"/>
    <col min="3" max="3" width="24" customWidth="1"/>
    <col min="4" max="4" width="6.44140625" bestFit="1" customWidth="1"/>
    <col min="5" max="5" width="19.109375" bestFit="1" customWidth="1"/>
    <col min="6" max="6" width="21.6640625" bestFit="1" customWidth="1"/>
  </cols>
  <sheetData>
    <row r="1" spans="1:3" x14ac:dyDescent="0.3">
      <c r="A1" t="s">
        <v>22</v>
      </c>
      <c r="B1" t="s">
        <v>30</v>
      </c>
      <c r="C1" t="s">
        <v>31</v>
      </c>
    </row>
    <row r="2" spans="1:3" x14ac:dyDescent="0.3">
      <c r="A2" t="s">
        <v>14</v>
      </c>
      <c r="B2">
        <v>185850</v>
      </c>
      <c r="C2">
        <v>186100</v>
      </c>
    </row>
    <row r="3" spans="1:3" x14ac:dyDescent="0.3">
      <c r="A3" t="s">
        <v>15</v>
      </c>
      <c r="B3">
        <v>214200</v>
      </c>
      <c r="C3">
        <v>222600</v>
      </c>
    </row>
    <row r="4" spans="1:3" x14ac:dyDescent="0.3">
      <c r="A4" t="s">
        <v>16</v>
      </c>
      <c r="B4">
        <v>328600</v>
      </c>
      <c r="C4">
        <v>337900</v>
      </c>
    </row>
    <row r="5" spans="1:3" x14ac:dyDescent="0.3">
      <c r="A5" t="s">
        <v>17</v>
      </c>
      <c r="B5">
        <v>521200</v>
      </c>
      <c r="C5">
        <v>399200</v>
      </c>
    </row>
    <row r="6" spans="1:3" x14ac:dyDescent="0.3">
      <c r="A6" t="s">
        <v>18</v>
      </c>
      <c r="B6">
        <v>368900</v>
      </c>
      <c r="C6">
        <v>325500</v>
      </c>
    </row>
    <row r="7" spans="1:3" x14ac:dyDescent="0.3">
      <c r="A7" t="s">
        <v>19</v>
      </c>
      <c r="B7">
        <v>388600</v>
      </c>
      <c r="C7">
        <v>359200</v>
      </c>
    </row>
    <row r="8" spans="1:3" x14ac:dyDescent="0.3">
      <c r="A8" t="s">
        <v>20</v>
      </c>
      <c r="B8">
        <v>409200</v>
      </c>
      <c r="C8">
        <v>375100</v>
      </c>
    </row>
    <row r="9" spans="1:3" x14ac:dyDescent="0.3">
      <c r="A9" t="s">
        <v>21</v>
      </c>
      <c r="B9">
        <v>488200</v>
      </c>
      <c r="C9">
        <v>455200</v>
      </c>
    </row>
    <row r="13" spans="1:3" x14ac:dyDescent="0.3">
      <c r="B13" s="6"/>
      <c r="C13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D8D2-887A-4A3B-B181-7BCEDE97B8DF}">
  <dimension ref="A1:J487"/>
  <sheetViews>
    <sheetView workbookViewId="0">
      <selection activeCell="M14" sqref="M14"/>
    </sheetView>
  </sheetViews>
  <sheetFormatPr defaultRowHeight="14.4" x14ac:dyDescent="0.3"/>
  <cols>
    <col min="1" max="1" width="10.33203125" bestFit="1" customWidth="1"/>
    <col min="2" max="2" width="8.6640625" customWidth="1"/>
    <col min="3" max="3" width="9.77734375" customWidth="1"/>
    <col min="4" max="4" width="15.77734375" customWidth="1"/>
    <col min="5" max="5" width="9.77734375" customWidth="1"/>
    <col min="6" max="6" width="17.88671875" customWidth="1"/>
    <col min="7" max="7" width="13.109375" customWidth="1"/>
    <col min="8" max="8" width="14" bestFit="1" customWidth="1"/>
    <col min="9" max="9" width="8.88671875" style="2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s="2" t="s">
        <v>12</v>
      </c>
      <c r="J1" s="2" t="s">
        <v>13</v>
      </c>
    </row>
    <row r="2" spans="1:10" x14ac:dyDescent="0.3">
      <c r="A2" s="1">
        <v>45658</v>
      </c>
      <c r="B2" t="s">
        <v>7</v>
      </c>
      <c r="C2" t="s">
        <v>8</v>
      </c>
      <c r="D2">
        <v>3200</v>
      </c>
      <c r="E2">
        <v>160</v>
      </c>
      <c r="F2">
        <v>500</v>
      </c>
      <c r="G2">
        <v>2500</v>
      </c>
      <c r="H2">
        <f xml:space="preserve"> Table1[[#This Row],[Gross_Revenue]]-Table1[[#This Row],[Refunds]]</f>
        <v>3040</v>
      </c>
      <c r="I2" s="2">
        <f xml:space="preserve"> Table1[[#This Row],[Net Revenue]]/Table1[[#This Row],[Marketing_Spend]]</f>
        <v>6.08</v>
      </c>
      <c r="J2" s="2">
        <f>Table1[[#This Row],[Marketing_Spend]]/Table1[[#This Row],[Web_Traffic]]</f>
        <v>0.2</v>
      </c>
    </row>
    <row r="3" spans="1:10" x14ac:dyDescent="0.3">
      <c r="A3" s="1">
        <v>45658</v>
      </c>
      <c r="B3" t="s">
        <v>9</v>
      </c>
      <c r="C3" t="s">
        <v>10</v>
      </c>
      <c r="D3">
        <v>2800</v>
      </c>
      <c r="E3">
        <v>140</v>
      </c>
      <c r="F3">
        <v>700</v>
      </c>
      <c r="G3">
        <v>3500</v>
      </c>
      <c r="H3">
        <f xml:space="preserve"> Table1[[#This Row],[Gross_Revenue]]-Table1[[#This Row],[Refunds]]</f>
        <v>2660</v>
      </c>
      <c r="I3" s="2">
        <f xml:space="preserve"> Table1[[#This Row],[Net Revenue]]/Table1[[#This Row],[Marketing_Spend]]</f>
        <v>3.8</v>
      </c>
      <c r="J3" s="2">
        <f>Table1[[#This Row],[Marketing_Spend]]/Table1[[#This Row],[Web_Traffic]]</f>
        <v>0.2</v>
      </c>
    </row>
    <row r="4" spans="1:10" x14ac:dyDescent="0.3">
      <c r="A4" s="1">
        <v>45659</v>
      </c>
      <c r="B4" t="s">
        <v>7</v>
      </c>
      <c r="C4" t="s">
        <v>8</v>
      </c>
      <c r="D4">
        <v>3150</v>
      </c>
      <c r="E4">
        <v>150</v>
      </c>
      <c r="F4">
        <v>480</v>
      </c>
      <c r="G4">
        <v>2450</v>
      </c>
      <c r="H4">
        <f xml:space="preserve"> Table1[[#This Row],[Gross_Revenue]]-Table1[[#This Row],[Refunds]]</f>
        <v>3000</v>
      </c>
      <c r="I4" s="2">
        <f xml:space="preserve"> Table1[[#This Row],[Net Revenue]]/Table1[[#This Row],[Marketing_Spend]]</f>
        <v>6.25</v>
      </c>
      <c r="J4" s="2">
        <f>Table1[[#This Row],[Marketing_Spend]]/Table1[[#This Row],[Web_Traffic]]</f>
        <v>0.19591836734693877</v>
      </c>
    </row>
    <row r="5" spans="1:10" x14ac:dyDescent="0.3">
      <c r="A5" s="1">
        <v>45659</v>
      </c>
      <c r="B5" t="s">
        <v>9</v>
      </c>
      <c r="C5" t="s">
        <v>10</v>
      </c>
      <c r="D5">
        <v>2750</v>
      </c>
      <c r="E5">
        <v>130</v>
      </c>
      <c r="F5">
        <v>680</v>
      </c>
      <c r="G5">
        <v>3400</v>
      </c>
      <c r="H5">
        <f xml:space="preserve"> Table1[[#This Row],[Gross_Revenue]]-Table1[[#This Row],[Refunds]]</f>
        <v>2620</v>
      </c>
      <c r="I5" s="2">
        <f xml:space="preserve"> Table1[[#This Row],[Net Revenue]]/Table1[[#This Row],[Marketing_Spend]]</f>
        <v>3.8529411764705883</v>
      </c>
      <c r="J5" s="2">
        <f>Table1[[#This Row],[Marketing_Spend]]/Table1[[#This Row],[Web_Traffic]]</f>
        <v>0.2</v>
      </c>
    </row>
    <row r="6" spans="1:10" x14ac:dyDescent="0.3">
      <c r="A6" s="1">
        <v>45660</v>
      </c>
      <c r="B6" t="s">
        <v>7</v>
      </c>
      <c r="C6" t="s">
        <v>8</v>
      </c>
      <c r="D6">
        <v>3300</v>
      </c>
      <c r="E6">
        <v>165</v>
      </c>
      <c r="F6">
        <v>520</v>
      </c>
      <c r="G6">
        <v>2600</v>
      </c>
      <c r="H6">
        <f xml:space="preserve"> Table1[[#This Row],[Gross_Revenue]]-Table1[[#This Row],[Refunds]]</f>
        <v>3135</v>
      </c>
      <c r="I6" s="2">
        <f xml:space="preserve"> Table1[[#This Row],[Net Revenue]]/Table1[[#This Row],[Marketing_Spend]]</f>
        <v>6.0288461538461542</v>
      </c>
      <c r="J6" s="2">
        <f>Table1[[#This Row],[Marketing_Spend]]/Table1[[#This Row],[Web_Traffic]]</f>
        <v>0.2</v>
      </c>
    </row>
    <row r="7" spans="1:10" x14ac:dyDescent="0.3">
      <c r="A7" s="1">
        <v>45660</v>
      </c>
      <c r="B7" t="s">
        <v>9</v>
      </c>
      <c r="C7" t="s">
        <v>10</v>
      </c>
      <c r="D7">
        <v>2900</v>
      </c>
      <c r="E7">
        <v>145</v>
      </c>
      <c r="F7">
        <v>720</v>
      </c>
      <c r="G7">
        <v>3600</v>
      </c>
      <c r="H7">
        <f xml:space="preserve"> Table1[[#This Row],[Gross_Revenue]]-Table1[[#This Row],[Refunds]]</f>
        <v>2755</v>
      </c>
      <c r="I7" s="2">
        <f xml:space="preserve"> Table1[[#This Row],[Net Revenue]]/Table1[[#This Row],[Marketing_Spend]]</f>
        <v>3.8263888888888888</v>
      </c>
      <c r="J7" s="2">
        <f>Table1[[#This Row],[Marketing_Spend]]/Table1[[#This Row],[Web_Traffic]]</f>
        <v>0.2</v>
      </c>
    </row>
    <row r="8" spans="1:10" x14ac:dyDescent="0.3">
      <c r="A8" s="1">
        <v>45661</v>
      </c>
      <c r="B8" t="s">
        <v>7</v>
      </c>
      <c r="C8" t="s">
        <v>8</v>
      </c>
      <c r="D8">
        <v>3400</v>
      </c>
      <c r="E8">
        <v>170</v>
      </c>
      <c r="F8">
        <v>550</v>
      </c>
      <c r="G8">
        <v>2700</v>
      </c>
      <c r="H8">
        <f xml:space="preserve"> Table1[[#This Row],[Gross_Revenue]]-Table1[[#This Row],[Refunds]]</f>
        <v>3230</v>
      </c>
      <c r="I8" s="2">
        <f xml:space="preserve"> Table1[[#This Row],[Net Revenue]]/Table1[[#This Row],[Marketing_Spend]]</f>
        <v>5.872727272727273</v>
      </c>
      <c r="J8" s="2">
        <f>Table1[[#This Row],[Marketing_Spend]]/Table1[[#This Row],[Web_Traffic]]</f>
        <v>0.20370370370370369</v>
      </c>
    </row>
    <row r="9" spans="1:10" x14ac:dyDescent="0.3">
      <c r="A9" s="1">
        <v>45661</v>
      </c>
      <c r="B9" t="s">
        <v>9</v>
      </c>
      <c r="C9" t="s">
        <v>10</v>
      </c>
      <c r="D9">
        <v>3000</v>
      </c>
      <c r="E9">
        <v>150</v>
      </c>
      <c r="F9">
        <v>750</v>
      </c>
      <c r="G9">
        <v>3800</v>
      </c>
      <c r="H9">
        <f xml:space="preserve"> Table1[[#This Row],[Gross_Revenue]]-Table1[[#This Row],[Refunds]]</f>
        <v>2850</v>
      </c>
      <c r="I9" s="2">
        <f xml:space="preserve"> Table1[[#This Row],[Net Revenue]]/Table1[[#This Row],[Marketing_Spend]]</f>
        <v>3.8</v>
      </c>
      <c r="J9" s="2">
        <f>Table1[[#This Row],[Marketing_Spend]]/Table1[[#This Row],[Web_Traffic]]</f>
        <v>0.19736842105263158</v>
      </c>
    </row>
    <row r="10" spans="1:10" x14ac:dyDescent="0.3">
      <c r="A10" s="1">
        <v>45662</v>
      </c>
      <c r="B10" t="s">
        <v>7</v>
      </c>
      <c r="C10" t="s">
        <v>8</v>
      </c>
      <c r="D10">
        <v>3000</v>
      </c>
      <c r="E10">
        <v>150</v>
      </c>
      <c r="F10">
        <v>450</v>
      </c>
      <c r="G10">
        <v>2300</v>
      </c>
      <c r="H10">
        <f xml:space="preserve"> Table1[[#This Row],[Gross_Revenue]]-Table1[[#This Row],[Refunds]]</f>
        <v>2850</v>
      </c>
      <c r="I10" s="2">
        <f xml:space="preserve"> Table1[[#This Row],[Net Revenue]]/Table1[[#This Row],[Marketing_Spend]]</f>
        <v>6.333333333333333</v>
      </c>
      <c r="J10" s="2">
        <f>Table1[[#This Row],[Marketing_Spend]]/Table1[[#This Row],[Web_Traffic]]</f>
        <v>0.19565217391304349</v>
      </c>
    </row>
    <row r="11" spans="1:10" x14ac:dyDescent="0.3">
      <c r="A11" s="1">
        <v>45662</v>
      </c>
      <c r="B11" t="s">
        <v>9</v>
      </c>
      <c r="C11" t="s">
        <v>10</v>
      </c>
      <c r="D11">
        <v>2600</v>
      </c>
      <c r="E11">
        <v>130</v>
      </c>
      <c r="F11">
        <v>650</v>
      </c>
      <c r="G11">
        <v>3200</v>
      </c>
      <c r="H11">
        <f xml:space="preserve"> Table1[[#This Row],[Gross_Revenue]]-Table1[[#This Row],[Refunds]]</f>
        <v>2470</v>
      </c>
      <c r="I11" s="2">
        <f xml:space="preserve"> Table1[[#This Row],[Net Revenue]]/Table1[[#This Row],[Marketing_Spend]]</f>
        <v>3.8</v>
      </c>
      <c r="J11" s="2">
        <f>Table1[[#This Row],[Marketing_Spend]]/Table1[[#This Row],[Web_Traffic]]</f>
        <v>0.203125</v>
      </c>
    </row>
    <row r="12" spans="1:10" x14ac:dyDescent="0.3">
      <c r="A12" s="1">
        <v>45663</v>
      </c>
      <c r="B12" t="s">
        <v>7</v>
      </c>
      <c r="C12" t="s">
        <v>8</v>
      </c>
      <c r="D12">
        <v>3100</v>
      </c>
      <c r="E12">
        <v>155</v>
      </c>
      <c r="F12">
        <v>480</v>
      </c>
      <c r="G12">
        <v>2400</v>
      </c>
      <c r="H12">
        <f xml:space="preserve"> Table1[[#This Row],[Gross_Revenue]]-Table1[[#This Row],[Refunds]]</f>
        <v>2945</v>
      </c>
      <c r="I12" s="2">
        <f xml:space="preserve"> Table1[[#This Row],[Net Revenue]]/Table1[[#This Row],[Marketing_Spend]]</f>
        <v>6.135416666666667</v>
      </c>
      <c r="J12" s="2">
        <f>Table1[[#This Row],[Marketing_Spend]]/Table1[[#This Row],[Web_Traffic]]</f>
        <v>0.2</v>
      </c>
    </row>
    <row r="13" spans="1:10" x14ac:dyDescent="0.3">
      <c r="A13" s="1">
        <v>45663</v>
      </c>
      <c r="B13" t="s">
        <v>9</v>
      </c>
      <c r="C13" t="s">
        <v>10</v>
      </c>
      <c r="D13">
        <v>2700</v>
      </c>
      <c r="E13">
        <v>135</v>
      </c>
      <c r="F13">
        <v>680</v>
      </c>
      <c r="G13">
        <v>3400</v>
      </c>
      <c r="H13">
        <f xml:space="preserve"> Table1[[#This Row],[Gross_Revenue]]-Table1[[#This Row],[Refunds]]</f>
        <v>2565</v>
      </c>
      <c r="I13" s="2">
        <f xml:space="preserve"> Table1[[#This Row],[Net Revenue]]/Table1[[#This Row],[Marketing_Spend]]</f>
        <v>3.7720588235294117</v>
      </c>
      <c r="J13" s="2">
        <f>Table1[[#This Row],[Marketing_Spend]]/Table1[[#This Row],[Web_Traffic]]</f>
        <v>0.2</v>
      </c>
    </row>
    <row r="14" spans="1:10" x14ac:dyDescent="0.3">
      <c r="A14" s="1">
        <v>45664</v>
      </c>
      <c r="B14" t="s">
        <v>7</v>
      </c>
      <c r="C14" t="s">
        <v>8</v>
      </c>
      <c r="D14">
        <v>3250</v>
      </c>
      <c r="E14">
        <v>162</v>
      </c>
      <c r="F14">
        <v>500</v>
      </c>
      <c r="G14">
        <v>2550</v>
      </c>
      <c r="H14">
        <f xml:space="preserve"> Table1[[#This Row],[Gross_Revenue]]-Table1[[#This Row],[Refunds]]</f>
        <v>3088</v>
      </c>
      <c r="I14" s="2">
        <f xml:space="preserve"> Table1[[#This Row],[Net Revenue]]/Table1[[#This Row],[Marketing_Spend]]</f>
        <v>6.1760000000000002</v>
      </c>
      <c r="J14" s="2">
        <f>Table1[[#This Row],[Marketing_Spend]]/Table1[[#This Row],[Web_Traffic]]</f>
        <v>0.19607843137254902</v>
      </c>
    </row>
    <row r="15" spans="1:10" x14ac:dyDescent="0.3">
      <c r="A15" s="1">
        <v>45664</v>
      </c>
      <c r="B15" t="s">
        <v>9</v>
      </c>
      <c r="C15" t="s">
        <v>10</v>
      </c>
      <c r="D15">
        <v>2850</v>
      </c>
      <c r="E15">
        <v>142</v>
      </c>
      <c r="F15">
        <v>700</v>
      </c>
      <c r="G15">
        <v>3550</v>
      </c>
      <c r="H15">
        <f xml:space="preserve"> Table1[[#This Row],[Gross_Revenue]]-Table1[[#This Row],[Refunds]]</f>
        <v>2708</v>
      </c>
      <c r="I15" s="2">
        <f xml:space="preserve"> Table1[[#This Row],[Net Revenue]]/Table1[[#This Row],[Marketing_Spend]]</f>
        <v>3.8685714285714288</v>
      </c>
      <c r="J15" s="2">
        <f>Table1[[#This Row],[Marketing_Spend]]/Table1[[#This Row],[Web_Traffic]]</f>
        <v>0.19718309859154928</v>
      </c>
    </row>
    <row r="16" spans="1:10" x14ac:dyDescent="0.3">
      <c r="A16" s="1">
        <v>45665</v>
      </c>
      <c r="B16" t="s">
        <v>7</v>
      </c>
      <c r="C16" t="s">
        <v>8</v>
      </c>
      <c r="D16">
        <v>3200</v>
      </c>
      <c r="E16">
        <v>160</v>
      </c>
      <c r="F16">
        <v>500</v>
      </c>
      <c r="G16">
        <v>2500</v>
      </c>
      <c r="H16">
        <f xml:space="preserve"> Table1[[#This Row],[Gross_Revenue]]-Table1[[#This Row],[Refunds]]</f>
        <v>3040</v>
      </c>
      <c r="I16" s="2">
        <f xml:space="preserve"> Table1[[#This Row],[Net Revenue]]/Table1[[#This Row],[Marketing_Spend]]</f>
        <v>6.08</v>
      </c>
      <c r="J16" s="2">
        <f>Table1[[#This Row],[Marketing_Spend]]/Table1[[#This Row],[Web_Traffic]]</f>
        <v>0.2</v>
      </c>
    </row>
    <row r="17" spans="1:10" x14ac:dyDescent="0.3">
      <c r="A17" s="1">
        <v>45665</v>
      </c>
      <c r="B17" t="s">
        <v>9</v>
      </c>
      <c r="C17" t="s">
        <v>10</v>
      </c>
      <c r="D17">
        <v>2800</v>
      </c>
      <c r="E17">
        <v>140</v>
      </c>
      <c r="F17">
        <v>700</v>
      </c>
      <c r="G17">
        <v>3500</v>
      </c>
      <c r="H17">
        <f xml:space="preserve"> Table1[[#This Row],[Gross_Revenue]]-Table1[[#This Row],[Refunds]]</f>
        <v>2660</v>
      </c>
      <c r="I17" s="2">
        <f xml:space="preserve"> Table1[[#This Row],[Net Revenue]]/Table1[[#This Row],[Marketing_Spend]]</f>
        <v>3.8</v>
      </c>
      <c r="J17" s="2">
        <f>Table1[[#This Row],[Marketing_Spend]]/Table1[[#This Row],[Web_Traffic]]</f>
        <v>0.2</v>
      </c>
    </row>
    <row r="18" spans="1:10" x14ac:dyDescent="0.3">
      <c r="A18" s="1">
        <v>45666</v>
      </c>
      <c r="B18" t="s">
        <v>7</v>
      </c>
      <c r="C18" t="s">
        <v>8</v>
      </c>
      <c r="D18">
        <v>3150</v>
      </c>
      <c r="E18">
        <v>150</v>
      </c>
      <c r="F18">
        <v>480</v>
      </c>
      <c r="G18">
        <v>2450</v>
      </c>
      <c r="H18">
        <f xml:space="preserve"> Table1[[#This Row],[Gross_Revenue]]-Table1[[#This Row],[Refunds]]</f>
        <v>3000</v>
      </c>
      <c r="I18" s="2">
        <f xml:space="preserve"> Table1[[#This Row],[Net Revenue]]/Table1[[#This Row],[Marketing_Spend]]</f>
        <v>6.25</v>
      </c>
      <c r="J18" s="2">
        <f>Table1[[#This Row],[Marketing_Spend]]/Table1[[#This Row],[Web_Traffic]]</f>
        <v>0.19591836734693877</v>
      </c>
    </row>
    <row r="19" spans="1:10" x14ac:dyDescent="0.3">
      <c r="A19" s="1">
        <v>45666</v>
      </c>
      <c r="B19" t="s">
        <v>9</v>
      </c>
      <c r="C19" t="s">
        <v>10</v>
      </c>
      <c r="D19">
        <v>2750</v>
      </c>
      <c r="E19">
        <v>130</v>
      </c>
      <c r="F19">
        <v>680</v>
      </c>
      <c r="G19">
        <v>3400</v>
      </c>
      <c r="H19">
        <f xml:space="preserve"> Table1[[#This Row],[Gross_Revenue]]-Table1[[#This Row],[Refunds]]</f>
        <v>2620</v>
      </c>
      <c r="I19" s="2">
        <f xml:space="preserve"> Table1[[#This Row],[Net Revenue]]/Table1[[#This Row],[Marketing_Spend]]</f>
        <v>3.8529411764705883</v>
      </c>
      <c r="J19" s="2">
        <f>Table1[[#This Row],[Marketing_Spend]]/Table1[[#This Row],[Web_Traffic]]</f>
        <v>0.2</v>
      </c>
    </row>
    <row r="20" spans="1:10" x14ac:dyDescent="0.3">
      <c r="A20" s="1">
        <v>45667</v>
      </c>
      <c r="B20" t="s">
        <v>7</v>
      </c>
      <c r="C20" t="s">
        <v>8</v>
      </c>
      <c r="D20">
        <v>3300</v>
      </c>
      <c r="E20">
        <v>165</v>
      </c>
      <c r="F20">
        <v>520</v>
      </c>
      <c r="G20">
        <v>2600</v>
      </c>
      <c r="H20">
        <f xml:space="preserve"> Table1[[#This Row],[Gross_Revenue]]-Table1[[#This Row],[Refunds]]</f>
        <v>3135</v>
      </c>
      <c r="I20" s="2">
        <f xml:space="preserve"> Table1[[#This Row],[Net Revenue]]/Table1[[#This Row],[Marketing_Spend]]</f>
        <v>6.0288461538461542</v>
      </c>
      <c r="J20" s="2">
        <f>Table1[[#This Row],[Marketing_Spend]]/Table1[[#This Row],[Web_Traffic]]</f>
        <v>0.2</v>
      </c>
    </row>
    <row r="21" spans="1:10" x14ac:dyDescent="0.3">
      <c r="A21" s="1">
        <v>45667</v>
      </c>
      <c r="B21" t="s">
        <v>9</v>
      </c>
      <c r="C21" t="s">
        <v>10</v>
      </c>
      <c r="D21">
        <v>2900</v>
      </c>
      <c r="E21">
        <v>145</v>
      </c>
      <c r="F21">
        <v>720</v>
      </c>
      <c r="G21">
        <v>3600</v>
      </c>
      <c r="H21">
        <f xml:space="preserve"> Table1[[#This Row],[Gross_Revenue]]-Table1[[#This Row],[Refunds]]</f>
        <v>2755</v>
      </c>
      <c r="I21" s="2">
        <f xml:space="preserve"> Table1[[#This Row],[Net Revenue]]/Table1[[#This Row],[Marketing_Spend]]</f>
        <v>3.8263888888888888</v>
      </c>
      <c r="J21" s="2">
        <f>Table1[[#This Row],[Marketing_Spend]]/Table1[[#This Row],[Web_Traffic]]</f>
        <v>0.2</v>
      </c>
    </row>
    <row r="22" spans="1:10" x14ac:dyDescent="0.3">
      <c r="A22" s="1">
        <v>45668</v>
      </c>
      <c r="B22" t="s">
        <v>7</v>
      </c>
      <c r="C22" t="s">
        <v>8</v>
      </c>
      <c r="D22">
        <v>3400</v>
      </c>
      <c r="E22">
        <v>170</v>
      </c>
      <c r="F22">
        <v>550</v>
      </c>
      <c r="G22">
        <v>2700</v>
      </c>
      <c r="H22">
        <f xml:space="preserve"> Table1[[#This Row],[Gross_Revenue]]-Table1[[#This Row],[Refunds]]</f>
        <v>3230</v>
      </c>
      <c r="I22" s="2">
        <f xml:space="preserve"> Table1[[#This Row],[Net Revenue]]/Table1[[#This Row],[Marketing_Spend]]</f>
        <v>5.872727272727273</v>
      </c>
      <c r="J22" s="2">
        <f>Table1[[#This Row],[Marketing_Spend]]/Table1[[#This Row],[Web_Traffic]]</f>
        <v>0.20370370370370369</v>
      </c>
    </row>
    <row r="23" spans="1:10" x14ac:dyDescent="0.3">
      <c r="A23" s="1">
        <v>45668</v>
      </c>
      <c r="B23" t="s">
        <v>9</v>
      </c>
      <c r="C23" t="s">
        <v>10</v>
      </c>
      <c r="D23">
        <v>3000</v>
      </c>
      <c r="E23">
        <v>150</v>
      </c>
      <c r="F23">
        <v>750</v>
      </c>
      <c r="G23">
        <v>3800</v>
      </c>
      <c r="H23">
        <f xml:space="preserve"> Table1[[#This Row],[Gross_Revenue]]-Table1[[#This Row],[Refunds]]</f>
        <v>2850</v>
      </c>
      <c r="I23" s="2">
        <f xml:space="preserve"> Table1[[#This Row],[Net Revenue]]/Table1[[#This Row],[Marketing_Spend]]</f>
        <v>3.8</v>
      </c>
      <c r="J23" s="2">
        <f>Table1[[#This Row],[Marketing_Spend]]/Table1[[#This Row],[Web_Traffic]]</f>
        <v>0.19736842105263158</v>
      </c>
    </row>
    <row r="24" spans="1:10" x14ac:dyDescent="0.3">
      <c r="A24" s="1">
        <v>45669</v>
      </c>
      <c r="B24" t="s">
        <v>7</v>
      </c>
      <c r="C24" t="s">
        <v>8</v>
      </c>
      <c r="D24">
        <v>3000</v>
      </c>
      <c r="E24">
        <v>150</v>
      </c>
      <c r="F24">
        <v>450</v>
      </c>
      <c r="G24">
        <v>2300</v>
      </c>
      <c r="H24">
        <f xml:space="preserve"> Table1[[#This Row],[Gross_Revenue]]-Table1[[#This Row],[Refunds]]</f>
        <v>2850</v>
      </c>
      <c r="I24" s="2">
        <f xml:space="preserve"> Table1[[#This Row],[Net Revenue]]/Table1[[#This Row],[Marketing_Spend]]</f>
        <v>6.333333333333333</v>
      </c>
      <c r="J24" s="2">
        <f>Table1[[#This Row],[Marketing_Spend]]/Table1[[#This Row],[Web_Traffic]]</f>
        <v>0.19565217391304349</v>
      </c>
    </row>
    <row r="25" spans="1:10" x14ac:dyDescent="0.3">
      <c r="A25" s="1">
        <v>45669</v>
      </c>
      <c r="B25" t="s">
        <v>9</v>
      </c>
      <c r="C25" t="s">
        <v>10</v>
      </c>
      <c r="D25">
        <v>2600</v>
      </c>
      <c r="E25">
        <v>130</v>
      </c>
      <c r="F25">
        <v>650</v>
      </c>
      <c r="G25">
        <v>3200</v>
      </c>
      <c r="H25">
        <f xml:space="preserve"> Table1[[#This Row],[Gross_Revenue]]-Table1[[#This Row],[Refunds]]</f>
        <v>2470</v>
      </c>
      <c r="I25" s="2">
        <f xml:space="preserve"> Table1[[#This Row],[Net Revenue]]/Table1[[#This Row],[Marketing_Spend]]</f>
        <v>3.8</v>
      </c>
      <c r="J25" s="2">
        <f>Table1[[#This Row],[Marketing_Spend]]/Table1[[#This Row],[Web_Traffic]]</f>
        <v>0.203125</v>
      </c>
    </row>
    <row r="26" spans="1:10" x14ac:dyDescent="0.3">
      <c r="A26" s="1">
        <v>45670</v>
      </c>
      <c r="B26" t="s">
        <v>7</v>
      </c>
      <c r="C26" t="s">
        <v>8</v>
      </c>
      <c r="D26">
        <v>3100</v>
      </c>
      <c r="E26">
        <v>155</v>
      </c>
      <c r="F26">
        <v>480</v>
      </c>
      <c r="G26">
        <v>2400</v>
      </c>
      <c r="H26">
        <f xml:space="preserve"> Table1[[#This Row],[Gross_Revenue]]-Table1[[#This Row],[Refunds]]</f>
        <v>2945</v>
      </c>
      <c r="I26" s="2">
        <f xml:space="preserve"> Table1[[#This Row],[Net Revenue]]/Table1[[#This Row],[Marketing_Spend]]</f>
        <v>6.135416666666667</v>
      </c>
      <c r="J26" s="2">
        <f>Table1[[#This Row],[Marketing_Spend]]/Table1[[#This Row],[Web_Traffic]]</f>
        <v>0.2</v>
      </c>
    </row>
    <row r="27" spans="1:10" x14ac:dyDescent="0.3">
      <c r="A27" s="1">
        <v>45670</v>
      </c>
      <c r="B27" t="s">
        <v>9</v>
      </c>
      <c r="C27" t="s">
        <v>10</v>
      </c>
      <c r="D27">
        <v>2700</v>
      </c>
      <c r="E27">
        <v>135</v>
      </c>
      <c r="F27">
        <v>680</v>
      </c>
      <c r="G27">
        <v>3400</v>
      </c>
      <c r="H27">
        <f xml:space="preserve"> Table1[[#This Row],[Gross_Revenue]]-Table1[[#This Row],[Refunds]]</f>
        <v>2565</v>
      </c>
      <c r="I27" s="2">
        <f xml:space="preserve"> Table1[[#This Row],[Net Revenue]]/Table1[[#This Row],[Marketing_Spend]]</f>
        <v>3.7720588235294117</v>
      </c>
      <c r="J27" s="2">
        <f>Table1[[#This Row],[Marketing_Spend]]/Table1[[#This Row],[Web_Traffic]]</f>
        <v>0.2</v>
      </c>
    </row>
    <row r="28" spans="1:10" x14ac:dyDescent="0.3">
      <c r="A28" s="1">
        <v>45671</v>
      </c>
      <c r="B28" t="s">
        <v>7</v>
      </c>
      <c r="C28" t="s">
        <v>8</v>
      </c>
      <c r="D28">
        <v>3250</v>
      </c>
      <c r="E28">
        <v>162</v>
      </c>
      <c r="F28">
        <v>500</v>
      </c>
      <c r="G28">
        <v>2550</v>
      </c>
      <c r="H28">
        <f xml:space="preserve"> Table1[[#This Row],[Gross_Revenue]]-Table1[[#This Row],[Refunds]]</f>
        <v>3088</v>
      </c>
      <c r="I28" s="2">
        <f xml:space="preserve"> Table1[[#This Row],[Net Revenue]]/Table1[[#This Row],[Marketing_Spend]]</f>
        <v>6.1760000000000002</v>
      </c>
      <c r="J28" s="2">
        <f>Table1[[#This Row],[Marketing_Spend]]/Table1[[#This Row],[Web_Traffic]]</f>
        <v>0.19607843137254902</v>
      </c>
    </row>
    <row r="29" spans="1:10" x14ac:dyDescent="0.3">
      <c r="A29" s="1">
        <v>45671</v>
      </c>
      <c r="B29" t="s">
        <v>9</v>
      </c>
      <c r="C29" t="s">
        <v>10</v>
      </c>
      <c r="D29">
        <v>2850</v>
      </c>
      <c r="E29">
        <v>142</v>
      </c>
      <c r="F29">
        <v>700</v>
      </c>
      <c r="G29">
        <v>3550</v>
      </c>
      <c r="H29">
        <f xml:space="preserve"> Table1[[#This Row],[Gross_Revenue]]-Table1[[#This Row],[Refunds]]</f>
        <v>2708</v>
      </c>
      <c r="I29" s="2">
        <f xml:space="preserve"> Table1[[#This Row],[Net Revenue]]/Table1[[#This Row],[Marketing_Spend]]</f>
        <v>3.8685714285714288</v>
      </c>
      <c r="J29" s="2">
        <f>Table1[[#This Row],[Marketing_Spend]]/Table1[[#This Row],[Web_Traffic]]</f>
        <v>0.19718309859154928</v>
      </c>
    </row>
    <row r="30" spans="1:10" x14ac:dyDescent="0.3">
      <c r="A30" s="1">
        <v>45672</v>
      </c>
      <c r="B30" t="s">
        <v>7</v>
      </c>
      <c r="C30" t="s">
        <v>8</v>
      </c>
      <c r="D30">
        <v>3200</v>
      </c>
      <c r="E30">
        <v>160</v>
      </c>
      <c r="F30">
        <v>500</v>
      </c>
      <c r="G30">
        <v>2500</v>
      </c>
      <c r="H30">
        <f xml:space="preserve"> Table1[[#This Row],[Gross_Revenue]]-Table1[[#This Row],[Refunds]]</f>
        <v>3040</v>
      </c>
      <c r="I30" s="2">
        <f xml:space="preserve"> Table1[[#This Row],[Net Revenue]]/Table1[[#This Row],[Marketing_Spend]]</f>
        <v>6.08</v>
      </c>
      <c r="J30" s="2">
        <f>Table1[[#This Row],[Marketing_Spend]]/Table1[[#This Row],[Web_Traffic]]</f>
        <v>0.2</v>
      </c>
    </row>
    <row r="31" spans="1:10" x14ac:dyDescent="0.3">
      <c r="A31" s="1">
        <v>45672</v>
      </c>
      <c r="B31" t="s">
        <v>9</v>
      </c>
      <c r="C31" t="s">
        <v>10</v>
      </c>
      <c r="D31">
        <v>2800</v>
      </c>
      <c r="E31">
        <v>140</v>
      </c>
      <c r="F31">
        <v>700</v>
      </c>
      <c r="G31">
        <v>3500</v>
      </c>
      <c r="H31">
        <f xml:space="preserve"> Table1[[#This Row],[Gross_Revenue]]-Table1[[#This Row],[Refunds]]</f>
        <v>2660</v>
      </c>
      <c r="I31" s="2">
        <f xml:space="preserve"> Table1[[#This Row],[Net Revenue]]/Table1[[#This Row],[Marketing_Spend]]</f>
        <v>3.8</v>
      </c>
      <c r="J31" s="2">
        <f>Table1[[#This Row],[Marketing_Spend]]/Table1[[#This Row],[Web_Traffic]]</f>
        <v>0.2</v>
      </c>
    </row>
    <row r="32" spans="1:10" x14ac:dyDescent="0.3">
      <c r="A32" s="1">
        <v>45673</v>
      </c>
      <c r="B32" t="s">
        <v>7</v>
      </c>
      <c r="C32" t="s">
        <v>8</v>
      </c>
      <c r="D32">
        <v>3150</v>
      </c>
      <c r="E32">
        <v>150</v>
      </c>
      <c r="F32">
        <v>480</v>
      </c>
      <c r="G32">
        <v>2450</v>
      </c>
      <c r="H32">
        <f xml:space="preserve"> Table1[[#This Row],[Gross_Revenue]]-Table1[[#This Row],[Refunds]]</f>
        <v>3000</v>
      </c>
      <c r="I32" s="2">
        <f xml:space="preserve"> Table1[[#This Row],[Net Revenue]]/Table1[[#This Row],[Marketing_Spend]]</f>
        <v>6.25</v>
      </c>
      <c r="J32" s="2">
        <f>Table1[[#This Row],[Marketing_Spend]]/Table1[[#This Row],[Web_Traffic]]</f>
        <v>0.19591836734693877</v>
      </c>
    </row>
    <row r="33" spans="1:10" x14ac:dyDescent="0.3">
      <c r="A33" s="1">
        <v>45673</v>
      </c>
      <c r="B33" t="s">
        <v>9</v>
      </c>
      <c r="C33" t="s">
        <v>10</v>
      </c>
      <c r="D33">
        <v>2750</v>
      </c>
      <c r="E33">
        <v>130</v>
      </c>
      <c r="F33">
        <v>680</v>
      </c>
      <c r="G33">
        <v>3400</v>
      </c>
      <c r="H33">
        <f xml:space="preserve"> Table1[[#This Row],[Gross_Revenue]]-Table1[[#This Row],[Refunds]]</f>
        <v>2620</v>
      </c>
      <c r="I33" s="2">
        <f xml:space="preserve"> Table1[[#This Row],[Net Revenue]]/Table1[[#This Row],[Marketing_Spend]]</f>
        <v>3.8529411764705883</v>
      </c>
      <c r="J33" s="2">
        <f>Table1[[#This Row],[Marketing_Spend]]/Table1[[#This Row],[Web_Traffic]]</f>
        <v>0.2</v>
      </c>
    </row>
    <row r="34" spans="1:10" x14ac:dyDescent="0.3">
      <c r="A34" s="1">
        <v>45674</v>
      </c>
      <c r="B34" t="s">
        <v>7</v>
      </c>
      <c r="C34" t="s">
        <v>8</v>
      </c>
      <c r="D34">
        <v>3300</v>
      </c>
      <c r="E34">
        <v>165</v>
      </c>
      <c r="F34">
        <v>520</v>
      </c>
      <c r="G34">
        <v>2600</v>
      </c>
      <c r="H34">
        <f xml:space="preserve"> Table1[[#This Row],[Gross_Revenue]]-Table1[[#This Row],[Refunds]]</f>
        <v>3135</v>
      </c>
      <c r="I34" s="2">
        <f xml:space="preserve"> Table1[[#This Row],[Net Revenue]]/Table1[[#This Row],[Marketing_Spend]]</f>
        <v>6.0288461538461542</v>
      </c>
      <c r="J34" s="2">
        <f>Table1[[#This Row],[Marketing_Spend]]/Table1[[#This Row],[Web_Traffic]]</f>
        <v>0.2</v>
      </c>
    </row>
    <row r="35" spans="1:10" x14ac:dyDescent="0.3">
      <c r="A35" s="1">
        <v>45674</v>
      </c>
      <c r="B35" t="s">
        <v>9</v>
      </c>
      <c r="C35" t="s">
        <v>10</v>
      </c>
      <c r="D35">
        <v>2900</v>
      </c>
      <c r="E35">
        <v>145</v>
      </c>
      <c r="F35">
        <v>720</v>
      </c>
      <c r="G35">
        <v>3600</v>
      </c>
      <c r="H35">
        <f xml:space="preserve"> Table1[[#This Row],[Gross_Revenue]]-Table1[[#This Row],[Refunds]]</f>
        <v>2755</v>
      </c>
      <c r="I35" s="2">
        <f xml:space="preserve"> Table1[[#This Row],[Net Revenue]]/Table1[[#This Row],[Marketing_Spend]]</f>
        <v>3.8263888888888888</v>
      </c>
      <c r="J35" s="2">
        <f>Table1[[#This Row],[Marketing_Spend]]/Table1[[#This Row],[Web_Traffic]]</f>
        <v>0.2</v>
      </c>
    </row>
    <row r="36" spans="1:10" x14ac:dyDescent="0.3">
      <c r="A36" s="1">
        <v>45675</v>
      </c>
      <c r="B36" t="s">
        <v>7</v>
      </c>
      <c r="C36" t="s">
        <v>8</v>
      </c>
      <c r="D36">
        <v>3400</v>
      </c>
      <c r="E36">
        <v>170</v>
      </c>
      <c r="F36">
        <v>550</v>
      </c>
      <c r="G36">
        <v>2700</v>
      </c>
      <c r="H36">
        <f xml:space="preserve"> Table1[[#This Row],[Gross_Revenue]]-Table1[[#This Row],[Refunds]]</f>
        <v>3230</v>
      </c>
      <c r="I36" s="2">
        <f xml:space="preserve"> Table1[[#This Row],[Net Revenue]]/Table1[[#This Row],[Marketing_Spend]]</f>
        <v>5.872727272727273</v>
      </c>
      <c r="J36" s="2">
        <f>Table1[[#This Row],[Marketing_Spend]]/Table1[[#This Row],[Web_Traffic]]</f>
        <v>0.20370370370370369</v>
      </c>
    </row>
    <row r="37" spans="1:10" x14ac:dyDescent="0.3">
      <c r="A37" s="1">
        <v>45675</v>
      </c>
      <c r="B37" t="s">
        <v>9</v>
      </c>
      <c r="C37" t="s">
        <v>10</v>
      </c>
      <c r="D37">
        <v>3000</v>
      </c>
      <c r="E37">
        <v>150</v>
      </c>
      <c r="F37">
        <v>750</v>
      </c>
      <c r="G37">
        <v>3800</v>
      </c>
      <c r="H37">
        <f xml:space="preserve"> Table1[[#This Row],[Gross_Revenue]]-Table1[[#This Row],[Refunds]]</f>
        <v>2850</v>
      </c>
      <c r="I37" s="2">
        <f xml:space="preserve"> Table1[[#This Row],[Net Revenue]]/Table1[[#This Row],[Marketing_Spend]]</f>
        <v>3.8</v>
      </c>
      <c r="J37" s="2">
        <f>Table1[[#This Row],[Marketing_Spend]]/Table1[[#This Row],[Web_Traffic]]</f>
        <v>0.19736842105263158</v>
      </c>
    </row>
    <row r="38" spans="1:10" x14ac:dyDescent="0.3">
      <c r="A38" s="1">
        <v>45676</v>
      </c>
      <c r="B38" t="s">
        <v>7</v>
      </c>
      <c r="C38" t="s">
        <v>8</v>
      </c>
      <c r="D38">
        <v>3000</v>
      </c>
      <c r="E38">
        <v>150</v>
      </c>
      <c r="F38">
        <v>450</v>
      </c>
      <c r="G38">
        <v>2300</v>
      </c>
      <c r="H38">
        <f xml:space="preserve"> Table1[[#This Row],[Gross_Revenue]]-Table1[[#This Row],[Refunds]]</f>
        <v>2850</v>
      </c>
      <c r="I38" s="2">
        <f xml:space="preserve"> Table1[[#This Row],[Net Revenue]]/Table1[[#This Row],[Marketing_Spend]]</f>
        <v>6.333333333333333</v>
      </c>
      <c r="J38" s="2">
        <f>Table1[[#This Row],[Marketing_Spend]]/Table1[[#This Row],[Web_Traffic]]</f>
        <v>0.19565217391304349</v>
      </c>
    </row>
    <row r="39" spans="1:10" x14ac:dyDescent="0.3">
      <c r="A39" s="1">
        <v>45676</v>
      </c>
      <c r="B39" t="s">
        <v>9</v>
      </c>
      <c r="C39" t="s">
        <v>10</v>
      </c>
      <c r="D39">
        <v>2600</v>
      </c>
      <c r="E39">
        <v>130</v>
      </c>
      <c r="F39">
        <v>650</v>
      </c>
      <c r="G39">
        <v>3200</v>
      </c>
      <c r="H39">
        <f xml:space="preserve"> Table1[[#This Row],[Gross_Revenue]]-Table1[[#This Row],[Refunds]]</f>
        <v>2470</v>
      </c>
      <c r="I39" s="2">
        <f xml:space="preserve"> Table1[[#This Row],[Net Revenue]]/Table1[[#This Row],[Marketing_Spend]]</f>
        <v>3.8</v>
      </c>
      <c r="J39" s="2">
        <f>Table1[[#This Row],[Marketing_Spend]]/Table1[[#This Row],[Web_Traffic]]</f>
        <v>0.203125</v>
      </c>
    </row>
    <row r="40" spans="1:10" x14ac:dyDescent="0.3">
      <c r="A40" s="1">
        <v>45677</v>
      </c>
      <c r="B40" t="s">
        <v>7</v>
      </c>
      <c r="C40" t="s">
        <v>8</v>
      </c>
      <c r="D40">
        <v>3100</v>
      </c>
      <c r="E40">
        <v>155</v>
      </c>
      <c r="F40">
        <v>480</v>
      </c>
      <c r="G40">
        <v>2400</v>
      </c>
      <c r="H40">
        <f xml:space="preserve"> Table1[[#This Row],[Gross_Revenue]]-Table1[[#This Row],[Refunds]]</f>
        <v>2945</v>
      </c>
      <c r="I40" s="2">
        <f xml:space="preserve"> Table1[[#This Row],[Net Revenue]]/Table1[[#This Row],[Marketing_Spend]]</f>
        <v>6.135416666666667</v>
      </c>
      <c r="J40" s="2">
        <f>Table1[[#This Row],[Marketing_Spend]]/Table1[[#This Row],[Web_Traffic]]</f>
        <v>0.2</v>
      </c>
    </row>
    <row r="41" spans="1:10" x14ac:dyDescent="0.3">
      <c r="A41" s="1">
        <v>45677</v>
      </c>
      <c r="B41" t="s">
        <v>9</v>
      </c>
      <c r="C41" t="s">
        <v>10</v>
      </c>
      <c r="D41">
        <v>2700</v>
      </c>
      <c r="E41">
        <v>135</v>
      </c>
      <c r="F41">
        <v>680</v>
      </c>
      <c r="G41">
        <v>3400</v>
      </c>
      <c r="H41">
        <f xml:space="preserve"> Table1[[#This Row],[Gross_Revenue]]-Table1[[#This Row],[Refunds]]</f>
        <v>2565</v>
      </c>
      <c r="I41" s="2">
        <f xml:space="preserve"> Table1[[#This Row],[Net Revenue]]/Table1[[#This Row],[Marketing_Spend]]</f>
        <v>3.7720588235294117</v>
      </c>
      <c r="J41" s="2">
        <f>Table1[[#This Row],[Marketing_Spend]]/Table1[[#This Row],[Web_Traffic]]</f>
        <v>0.2</v>
      </c>
    </row>
    <row r="42" spans="1:10" x14ac:dyDescent="0.3">
      <c r="A42" s="1">
        <v>45678</v>
      </c>
      <c r="B42" t="s">
        <v>7</v>
      </c>
      <c r="C42" t="s">
        <v>8</v>
      </c>
      <c r="D42">
        <v>3250</v>
      </c>
      <c r="E42">
        <v>162</v>
      </c>
      <c r="F42">
        <v>500</v>
      </c>
      <c r="G42">
        <v>2550</v>
      </c>
      <c r="H42">
        <f xml:space="preserve"> Table1[[#This Row],[Gross_Revenue]]-Table1[[#This Row],[Refunds]]</f>
        <v>3088</v>
      </c>
      <c r="I42" s="2">
        <f xml:space="preserve"> Table1[[#This Row],[Net Revenue]]/Table1[[#This Row],[Marketing_Spend]]</f>
        <v>6.1760000000000002</v>
      </c>
      <c r="J42" s="2">
        <f>Table1[[#This Row],[Marketing_Spend]]/Table1[[#This Row],[Web_Traffic]]</f>
        <v>0.19607843137254902</v>
      </c>
    </row>
    <row r="43" spans="1:10" x14ac:dyDescent="0.3">
      <c r="A43" s="1">
        <v>45678</v>
      </c>
      <c r="B43" t="s">
        <v>9</v>
      </c>
      <c r="C43" t="s">
        <v>10</v>
      </c>
      <c r="D43">
        <v>2850</v>
      </c>
      <c r="E43">
        <v>142</v>
      </c>
      <c r="F43">
        <v>700</v>
      </c>
      <c r="G43">
        <v>3550</v>
      </c>
      <c r="H43">
        <f xml:space="preserve"> Table1[[#This Row],[Gross_Revenue]]-Table1[[#This Row],[Refunds]]</f>
        <v>2708</v>
      </c>
      <c r="I43" s="2">
        <f xml:space="preserve"> Table1[[#This Row],[Net Revenue]]/Table1[[#This Row],[Marketing_Spend]]</f>
        <v>3.8685714285714288</v>
      </c>
      <c r="J43" s="2">
        <f>Table1[[#This Row],[Marketing_Spend]]/Table1[[#This Row],[Web_Traffic]]</f>
        <v>0.19718309859154928</v>
      </c>
    </row>
    <row r="44" spans="1:10" x14ac:dyDescent="0.3">
      <c r="A44" s="1">
        <v>45679</v>
      </c>
      <c r="B44" t="s">
        <v>7</v>
      </c>
      <c r="C44" t="s">
        <v>8</v>
      </c>
      <c r="D44">
        <v>3200</v>
      </c>
      <c r="E44">
        <v>160</v>
      </c>
      <c r="F44">
        <v>500</v>
      </c>
      <c r="G44">
        <v>2500</v>
      </c>
      <c r="H44">
        <f xml:space="preserve"> Table1[[#This Row],[Gross_Revenue]]-Table1[[#This Row],[Refunds]]</f>
        <v>3040</v>
      </c>
      <c r="I44" s="2">
        <f xml:space="preserve"> Table1[[#This Row],[Net Revenue]]/Table1[[#This Row],[Marketing_Spend]]</f>
        <v>6.08</v>
      </c>
      <c r="J44" s="2">
        <f>Table1[[#This Row],[Marketing_Spend]]/Table1[[#This Row],[Web_Traffic]]</f>
        <v>0.2</v>
      </c>
    </row>
    <row r="45" spans="1:10" x14ac:dyDescent="0.3">
      <c r="A45" s="1">
        <v>45679</v>
      </c>
      <c r="B45" t="s">
        <v>9</v>
      </c>
      <c r="C45" t="s">
        <v>10</v>
      </c>
      <c r="D45">
        <v>2800</v>
      </c>
      <c r="E45">
        <v>140</v>
      </c>
      <c r="F45">
        <v>700</v>
      </c>
      <c r="G45">
        <v>3500</v>
      </c>
      <c r="H45">
        <f xml:space="preserve"> Table1[[#This Row],[Gross_Revenue]]-Table1[[#This Row],[Refunds]]</f>
        <v>2660</v>
      </c>
      <c r="I45" s="2">
        <f xml:space="preserve"> Table1[[#This Row],[Net Revenue]]/Table1[[#This Row],[Marketing_Spend]]</f>
        <v>3.8</v>
      </c>
      <c r="J45" s="2">
        <f>Table1[[#This Row],[Marketing_Spend]]/Table1[[#This Row],[Web_Traffic]]</f>
        <v>0.2</v>
      </c>
    </row>
    <row r="46" spans="1:10" x14ac:dyDescent="0.3">
      <c r="A46" s="1">
        <v>45680</v>
      </c>
      <c r="B46" t="s">
        <v>7</v>
      </c>
      <c r="C46" t="s">
        <v>8</v>
      </c>
      <c r="D46">
        <v>3150</v>
      </c>
      <c r="E46">
        <v>150</v>
      </c>
      <c r="F46">
        <v>480</v>
      </c>
      <c r="G46">
        <v>2450</v>
      </c>
      <c r="H46">
        <f xml:space="preserve"> Table1[[#This Row],[Gross_Revenue]]-Table1[[#This Row],[Refunds]]</f>
        <v>3000</v>
      </c>
      <c r="I46" s="2">
        <f xml:space="preserve"> Table1[[#This Row],[Net Revenue]]/Table1[[#This Row],[Marketing_Spend]]</f>
        <v>6.25</v>
      </c>
      <c r="J46" s="2">
        <f>Table1[[#This Row],[Marketing_Spend]]/Table1[[#This Row],[Web_Traffic]]</f>
        <v>0.19591836734693877</v>
      </c>
    </row>
    <row r="47" spans="1:10" x14ac:dyDescent="0.3">
      <c r="A47" s="1">
        <v>45680</v>
      </c>
      <c r="B47" t="s">
        <v>9</v>
      </c>
      <c r="C47" t="s">
        <v>10</v>
      </c>
      <c r="D47">
        <v>2750</v>
      </c>
      <c r="E47">
        <v>130</v>
      </c>
      <c r="F47">
        <v>680</v>
      </c>
      <c r="G47">
        <v>3400</v>
      </c>
      <c r="H47">
        <f xml:space="preserve"> Table1[[#This Row],[Gross_Revenue]]-Table1[[#This Row],[Refunds]]</f>
        <v>2620</v>
      </c>
      <c r="I47" s="2">
        <f xml:space="preserve"> Table1[[#This Row],[Net Revenue]]/Table1[[#This Row],[Marketing_Spend]]</f>
        <v>3.8529411764705883</v>
      </c>
      <c r="J47" s="2">
        <f>Table1[[#This Row],[Marketing_Spend]]/Table1[[#This Row],[Web_Traffic]]</f>
        <v>0.2</v>
      </c>
    </row>
    <row r="48" spans="1:10" x14ac:dyDescent="0.3">
      <c r="A48" s="1">
        <v>45681</v>
      </c>
      <c r="B48" t="s">
        <v>7</v>
      </c>
      <c r="C48" t="s">
        <v>8</v>
      </c>
      <c r="D48">
        <v>3300</v>
      </c>
      <c r="E48">
        <v>165</v>
      </c>
      <c r="F48">
        <v>520</v>
      </c>
      <c r="G48">
        <v>2600</v>
      </c>
      <c r="H48">
        <f xml:space="preserve"> Table1[[#This Row],[Gross_Revenue]]-Table1[[#This Row],[Refunds]]</f>
        <v>3135</v>
      </c>
      <c r="I48" s="2">
        <f xml:space="preserve"> Table1[[#This Row],[Net Revenue]]/Table1[[#This Row],[Marketing_Spend]]</f>
        <v>6.0288461538461542</v>
      </c>
      <c r="J48" s="2">
        <f>Table1[[#This Row],[Marketing_Spend]]/Table1[[#This Row],[Web_Traffic]]</f>
        <v>0.2</v>
      </c>
    </row>
    <row r="49" spans="1:10" x14ac:dyDescent="0.3">
      <c r="A49" s="1">
        <v>45681</v>
      </c>
      <c r="B49" t="s">
        <v>9</v>
      </c>
      <c r="C49" t="s">
        <v>10</v>
      </c>
      <c r="D49">
        <v>2900</v>
      </c>
      <c r="E49">
        <v>145</v>
      </c>
      <c r="F49">
        <v>720</v>
      </c>
      <c r="G49">
        <v>3600</v>
      </c>
      <c r="H49">
        <f xml:space="preserve"> Table1[[#This Row],[Gross_Revenue]]-Table1[[#This Row],[Refunds]]</f>
        <v>2755</v>
      </c>
      <c r="I49" s="2">
        <f xml:space="preserve"> Table1[[#This Row],[Net Revenue]]/Table1[[#This Row],[Marketing_Spend]]</f>
        <v>3.8263888888888888</v>
      </c>
      <c r="J49" s="2">
        <f>Table1[[#This Row],[Marketing_Spend]]/Table1[[#This Row],[Web_Traffic]]</f>
        <v>0.2</v>
      </c>
    </row>
    <row r="50" spans="1:10" x14ac:dyDescent="0.3">
      <c r="A50" s="1">
        <v>45682</v>
      </c>
      <c r="B50" t="s">
        <v>7</v>
      </c>
      <c r="C50" t="s">
        <v>8</v>
      </c>
      <c r="D50">
        <v>3400</v>
      </c>
      <c r="E50">
        <v>170</v>
      </c>
      <c r="F50">
        <v>550</v>
      </c>
      <c r="G50">
        <v>2700</v>
      </c>
      <c r="H50">
        <f xml:space="preserve"> Table1[[#This Row],[Gross_Revenue]]-Table1[[#This Row],[Refunds]]</f>
        <v>3230</v>
      </c>
      <c r="I50" s="2">
        <f xml:space="preserve"> Table1[[#This Row],[Net Revenue]]/Table1[[#This Row],[Marketing_Spend]]</f>
        <v>5.872727272727273</v>
      </c>
      <c r="J50" s="2">
        <f>Table1[[#This Row],[Marketing_Spend]]/Table1[[#This Row],[Web_Traffic]]</f>
        <v>0.20370370370370369</v>
      </c>
    </row>
    <row r="51" spans="1:10" x14ac:dyDescent="0.3">
      <c r="A51" s="1">
        <v>45682</v>
      </c>
      <c r="B51" t="s">
        <v>9</v>
      </c>
      <c r="C51" t="s">
        <v>10</v>
      </c>
      <c r="D51">
        <v>3000</v>
      </c>
      <c r="E51">
        <v>150</v>
      </c>
      <c r="F51">
        <v>750</v>
      </c>
      <c r="G51">
        <v>3800</v>
      </c>
      <c r="H51">
        <f xml:space="preserve"> Table1[[#This Row],[Gross_Revenue]]-Table1[[#This Row],[Refunds]]</f>
        <v>2850</v>
      </c>
      <c r="I51" s="2">
        <f xml:space="preserve"> Table1[[#This Row],[Net Revenue]]/Table1[[#This Row],[Marketing_Spend]]</f>
        <v>3.8</v>
      </c>
      <c r="J51" s="2">
        <f>Table1[[#This Row],[Marketing_Spend]]/Table1[[#This Row],[Web_Traffic]]</f>
        <v>0.19736842105263158</v>
      </c>
    </row>
    <row r="52" spans="1:10" x14ac:dyDescent="0.3">
      <c r="A52" s="1">
        <v>45683</v>
      </c>
      <c r="B52" t="s">
        <v>7</v>
      </c>
      <c r="C52" t="s">
        <v>8</v>
      </c>
      <c r="D52">
        <v>3000</v>
      </c>
      <c r="E52">
        <v>150</v>
      </c>
      <c r="F52">
        <v>450</v>
      </c>
      <c r="G52">
        <v>2300</v>
      </c>
      <c r="H52">
        <f xml:space="preserve"> Table1[[#This Row],[Gross_Revenue]]-Table1[[#This Row],[Refunds]]</f>
        <v>2850</v>
      </c>
      <c r="I52" s="2">
        <f xml:space="preserve"> Table1[[#This Row],[Net Revenue]]/Table1[[#This Row],[Marketing_Spend]]</f>
        <v>6.333333333333333</v>
      </c>
      <c r="J52" s="2">
        <f>Table1[[#This Row],[Marketing_Spend]]/Table1[[#This Row],[Web_Traffic]]</f>
        <v>0.19565217391304349</v>
      </c>
    </row>
    <row r="53" spans="1:10" x14ac:dyDescent="0.3">
      <c r="A53" s="1">
        <v>45683</v>
      </c>
      <c r="B53" t="s">
        <v>9</v>
      </c>
      <c r="C53" t="s">
        <v>10</v>
      </c>
      <c r="D53">
        <v>2600</v>
      </c>
      <c r="E53">
        <v>130</v>
      </c>
      <c r="F53">
        <v>650</v>
      </c>
      <c r="G53">
        <v>3200</v>
      </c>
      <c r="H53">
        <f xml:space="preserve"> Table1[[#This Row],[Gross_Revenue]]-Table1[[#This Row],[Refunds]]</f>
        <v>2470</v>
      </c>
      <c r="I53" s="2">
        <f xml:space="preserve"> Table1[[#This Row],[Net Revenue]]/Table1[[#This Row],[Marketing_Spend]]</f>
        <v>3.8</v>
      </c>
      <c r="J53" s="2">
        <f>Table1[[#This Row],[Marketing_Spend]]/Table1[[#This Row],[Web_Traffic]]</f>
        <v>0.203125</v>
      </c>
    </row>
    <row r="54" spans="1:10" x14ac:dyDescent="0.3">
      <c r="A54" s="1">
        <v>45684</v>
      </c>
      <c r="B54" t="s">
        <v>7</v>
      </c>
      <c r="C54" t="s">
        <v>8</v>
      </c>
      <c r="D54">
        <v>3100</v>
      </c>
      <c r="E54">
        <v>155</v>
      </c>
      <c r="F54">
        <v>480</v>
      </c>
      <c r="G54">
        <v>2400</v>
      </c>
      <c r="H54">
        <f xml:space="preserve"> Table1[[#This Row],[Gross_Revenue]]-Table1[[#This Row],[Refunds]]</f>
        <v>2945</v>
      </c>
      <c r="I54" s="2">
        <f xml:space="preserve"> Table1[[#This Row],[Net Revenue]]/Table1[[#This Row],[Marketing_Spend]]</f>
        <v>6.135416666666667</v>
      </c>
      <c r="J54" s="2">
        <f>Table1[[#This Row],[Marketing_Spend]]/Table1[[#This Row],[Web_Traffic]]</f>
        <v>0.2</v>
      </c>
    </row>
    <row r="55" spans="1:10" x14ac:dyDescent="0.3">
      <c r="A55" s="1">
        <v>45684</v>
      </c>
      <c r="B55" t="s">
        <v>9</v>
      </c>
      <c r="C55" t="s">
        <v>10</v>
      </c>
      <c r="D55">
        <v>2700</v>
      </c>
      <c r="E55">
        <v>135</v>
      </c>
      <c r="F55">
        <v>680</v>
      </c>
      <c r="G55">
        <v>3400</v>
      </c>
      <c r="H55">
        <f xml:space="preserve"> Table1[[#This Row],[Gross_Revenue]]-Table1[[#This Row],[Refunds]]</f>
        <v>2565</v>
      </c>
      <c r="I55" s="2">
        <f xml:space="preserve"> Table1[[#This Row],[Net Revenue]]/Table1[[#This Row],[Marketing_Spend]]</f>
        <v>3.7720588235294117</v>
      </c>
      <c r="J55" s="2">
        <f>Table1[[#This Row],[Marketing_Spend]]/Table1[[#This Row],[Web_Traffic]]</f>
        <v>0.2</v>
      </c>
    </row>
    <row r="56" spans="1:10" x14ac:dyDescent="0.3">
      <c r="A56" s="1">
        <v>45685</v>
      </c>
      <c r="B56" t="s">
        <v>7</v>
      </c>
      <c r="C56" t="s">
        <v>8</v>
      </c>
      <c r="D56">
        <v>3250</v>
      </c>
      <c r="E56">
        <v>162</v>
      </c>
      <c r="F56">
        <v>500</v>
      </c>
      <c r="G56">
        <v>2550</v>
      </c>
      <c r="H56">
        <f xml:space="preserve"> Table1[[#This Row],[Gross_Revenue]]-Table1[[#This Row],[Refunds]]</f>
        <v>3088</v>
      </c>
      <c r="I56" s="2">
        <f xml:space="preserve"> Table1[[#This Row],[Net Revenue]]/Table1[[#This Row],[Marketing_Spend]]</f>
        <v>6.1760000000000002</v>
      </c>
      <c r="J56" s="2">
        <f>Table1[[#This Row],[Marketing_Spend]]/Table1[[#This Row],[Web_Traffic]]</f>
        <v>0.19607843137254902</v>
      </c>
    </row>
    <row r="57" spans="1:10" x14ac:dyDescent="0.3">
      <c r="A57" s="1">
        <v>45685</v>
      </c>
      <c r="B57" t="s">
        <v>9</v>
      </c>
      <c r="C57" t="s">
        <v>10</v>
      </c>
      <c r="D57">
        <v>2850</v>
      </c>
      <c r="E57">
        <v>142</v>
      </c>
      <c r="F57">
        <v>700</v>
      </c>
      <c r="G57">
        <v>3550</v>
      </c>
      <c r="H57">
        <f xml:space="preserve"> Table1[[#This Row],[Gross_Revenue]]-Table1[[#This Row],[Refunds]]</f>
        <v>2708</v>
      </c>
      <c r="I57" s="2">
        <f xml:space="preserve"> Table1[[#This Row],[Net Revenue]]/Table1[[#This Row],[Marketing_Spend]]</f>
        <v>3.8685714285714288</v>
      </c>
      <c r="J57" s="2">
        <f>Table1[[#This Row],[Marketing_Spend]]/Table1[[#This Row],[Web_Traffic]]</f>
        <v>0.19718309859154928</v>
      </c>
    </row>
    <row r="58" spans="1:10" x14ac:dyDescent="0.3">
      <c r="A58" s="1">
        <v>45686</v>
      </c>
      <c r="B58" t="s">
        <v>7</v>
      </c>
      <c r="C58" t="s">
        <v>8</v>
      </c>
      <c r="D58">
        <v>3200</v>
      </c>
      <c r="E58">
        <v>160</v>
      </c>
      <c r="F58">
        <v>500</v>
      </c>
      <c r="G58">
        <v>2500</v>
      </c>
      <c r="H58">
        <f xml:space="preserve"> Table1[[#This Row],[Gross_Revenue]]-Table1[[#This Row],[Refunds]]</f>
        <v>3040</v>
      </c>
      <c r="I58" s="2">
        <f xml:space="preserve"> Table1[[#This Row],[Net Revenue]]/Table1[[#This Row],[Marketing_Spend]]</f>
        <v>6.08</v>
      </c>
      <c r="J58" s="2">
        <f>Table1[[#This Row],[Marketing_Spend]]/Table1[[#This Row],[Web_Traffic]]</f>
        <v>0.2</v>
      </c>
    </row>
    <row r="59" spans="1:10" x14ac:dyDescent="0.3">
      <c r="A59" s="1">
        <v>45686</v>
      </c>
      <c r="B59" t="s">
        <v>9</v>
      </c>
      <c r="C59" t="s">
        <v>10</v>
      </c>
      <c r="D59">
        <v>2800</v>
      </c>
      <c r="E59">
        <v>140</v>
      </c>
      <c r="F59">
        <v>700</v>
      </c>
      <c r="G59">
        <v>3500</v>
      </c>
      <c r="H59">
        <f xml:space="preserve"> Table1[[#This Row],[Gross_Revenue]]-Table1[[#This Row],[Refunds]]</f>
        <v>2660</v>
      </c>
      <c r="I59" s="2">
        <f xml:space="preserve"> Table1[[#This Row],[Net Revenue]]/Table1[[#This Row],[Marketing_Spend]]</f>
        <v>3.8</v>
      </c>
      <c r="J59" s="2">
        <f>Table1[[#This Row],[Marketing_Spend]]/Table1[[#This Row],[Web_Traffic]]</f>
        <v>0.2</v>
      </c>
    </row>
    <row r="60" spans="1:10" x14ac:dyDescent="0.3">
      <c r="A60" s="1">
        <v>45687</v>
      </c>
      <c r="B60" t="s">
        <v>7</v>
      </c>
      <c r="C60" t="s">
        <v>8</v>
      </c>
      <c r="D60">
        <v>3150</v>
      </c>
      <c r="E60">
        <v>150</v>
      </c>
      <c r="F60">
        <v>480</v>
      </c>
      <c r="G60">
        <v>2450</v>
      </c>
      <c r="H60">
        <f xml:space="preserve"> Table1[[#This Row],[Gross_Revenue]]-Table1[[#This Row],[Refunds]]</f>
        <v>3000</v>
      </c>
      <c r="I60" s="2">
        <f xml:space="preserve"> Table1[[#This Row],[Net Revenue]]/Table1[[#This Row],[Marketing_Spend]]</f>
        <v>6.25</v>
      </c>
      <c r="J60" s="2">
        <f>Table1[[#This Row],[Marketing_Spend]]/Table1[[#This Row],[Web_Traffic]]</f>
        <v>0.19591836734693877</v>
      </c>
    </row>
    <row r="61" spans="1:10" x14ac:dyDescent="0.3">
      <c r="A61" s="1">
        <v>45687</v>
      </c>
      <c r="B61" t="s">
        <v>9</v>
      </c>
      <c r="C61" t="s">
        <v>10</v>
      </c>
      <c r="D61">
        <v>2750</v>
      </c>
      <c r="E61">
        <v>130</v>
      </c>
      <c r="F61">
        <v>680</v>
      </c>
      <c r="G61">
        <v>3400</v>
      </c>
      <c r="H61">
        <f xml:space="preserve"> Table1[[#This Row],[Gross_Revenue]]-Table1[[#This Row],[Refunds]]</f>
        <v>2620</v>
      </c>
      <c r="I61" s="2">
        <f xml:space="preserve"> Table1[[#This Row],[Net Revenue]]/Table1[[#This Row],[Marketing_Spend]]</f>
        <v>3.8529411764705883</v>
      </c>
      <c r="J61" s="2">
        <f>Table1[[#This Row],[Marketing_Spend]]/Table1[[#This Row],[Web_Traffic]]</f>
        <v>0.2</v>
      </c>
    </row>
    <row r="62" spans="1:10" x14ac:dyDescent="0.3">
      <c r="A62" s="1">
        <v>45688</v>
      </c>
      <c r="B62" t="s">
        <v>7</v>
      </c>
      <c r="C62" t="s">
        <v>8</v>
      </c>
      <c r="D62">
        <v>3300</v>
      </c>
      <c r="E62">
        <v>165</v>
      </c>
      <c r="F62">
        <v>520</v>
      </c>
      <c r="G62">
        <v>2600</v>
      </c>
      <c r="H62">
        <f xml:space="preserve"> Table1[[#This Row],[Gross_Revenue]]-Table1[[#This Row],[Refunds]]</f>
        <v>3135</v>
      </c>
      <c r="I62" s="2">
        <f xml:space="preserve"> Table1[[#This Row],[Net Revenue]]/Table1[[#This Row],[Marketing_Spend]]</f>
        <v>6.0288461538461542</v>
      </c>
      <c r="J62" s="2">
        <f>Table1[[#This Row],[Marketing_Spend]]/Table1[[#This Row],[Web_Traffic]]</f>
        <v>0.2</v>
      </c>
    </row>
    <row r="63" spans="1:10" x14ac:dyDescent="0.3">
      <c r="A63" s="1">
        <v>45688</v>
      </c>
      <c r="B63" t="s">
        <v>9</v>
      </c>
      <c r="C63" t="s">
        <v>10</v>
      </c>
      <c r="D63">
        <v>2900</v>
      </c>
      <c r="E63">
        <v>145</v>
      </c>
      <c r="F63">
        <v>720</v>
      </c>
      <c r="G63">
        <v>3600</v>
      </c>
      <c r="H63">
        <f xml:space="preserve"> Table1[[#This Row],[Gross_Revenue]]-Table1[[#This Row],[Refunds]]</f>
        <v>2755</v>
      </c>
      <c r="I63" s="2">
        <f xml:space="preserve"> Table1[[#This Row],[Net Revenue]]/Table1[[#This Row],[Marketing_Spend]]</f>
        <v>3.8263888888888888</v>
      </c>
      <c r="J63" s="2">
        <f>Table1[[#This Row],[Marketing_Spend]]/Table1[[#This Row],[Web_Traffic]]</f>
        <v>0.2</v>
      </c>
    </row>
    <row r="64" spans="1:10" x14ac:dyDescent="0.3">
      <c r="A64" s="1">
        <v>45689</v>
      </c>
      <c r="B64" t="s">
        <v>7</v>
      </c>
      <c r="C64" t="s">
        <v>8</v>
      </c>
      <c r="D64">
        <v>3500</v>
      </c>
      <c r="E64">
        <v>175</v>
      </c>
      <c r="F64">
        <v>500</v>
      </c>
      <c r="G64">
        <v>2600</v>
      </c>
      <c r="H64">
        <f xml:space="preserve"> Table1[[#This Row],[Gross_Revenue]]-Table1[[#This Row],[Refunds]]</f>
        <v>3325</v>
      </c>
      <c r="I64" s="2">
        <f xml:space="preserve"> Table1[[#This Row],[Net Revenue]]/Table1[[#This Row],[Marketing_Spend]]</f>
        <v>6.65</v>
      </c>
      <c r="J64" s="2">
        <f>Table1[[#This Row],[Marketing_Spend]]/Table1[[#This Row],[Web_Traffic]]</f>
        <v>0.19230769230769232</v>
      </c>
    </row>
    <row r="65" spans="1:10" x14ac:dyDescent="0.3">
      <c r="A65" s="1">
        <v>45689</v>
      </c>
      <c r="B65" t="s">
        <v>9</v>
      </c>
      <c r="C65" t="s">
        <v>10</v>
      </c>
      <c r="D65">
        <v>3100</v>
      </c>
      <c r="E65">
        <v>155</v>
      </c>
      <c r="F65">
        <v>750</v>
      </c>
      <c r="G65">
        <v>3700</v>
      </c>
      <c r="H65">
        <f xml:space="preserve"> Table1[[#This Row],[Gross_Revenue]]-Table1[[#This Row],[Refunds]]</f>
        <v>2945</v>
      </c>
      <c r="I65" s="2">
        <f xml:space="preserve"> Table1[[#This Row],[Net Revenue]]/Table1[[#This Row],[Marketing_Spend]]</f>
        <v>3.9266666666666667</v>
      </c>
      <c r="J65" s="2">
        <f>Table1[[#This Row],[Marketing_Spend]]/Table1[[#This Row],[Web_Traffic]]</f>
        <v>0.20270270270270271</v>
      </c>
    </row>
    <row r="66" spans="1:10" x14ac:dyDescent="0.3">
      <c r="A66" s="1">
        <v>45690</v>
      </c>
      <c r="B66" t="s">
        <v>7</v>
      </c>
      <c r="C66" t="s">
        <v>8</v>
      </c>
      <c r="D66">
        <v>3550</v>
      </c>
      <c r="E66">
        <v>177</v>
      </c>
      <c r="F66">
        <v>510</v>
      </c>
      <c r="G66">
        <v>2650</v>
      </c>
      <c r="H66">
        <f xml:space="preserve"> Table1[[#This Row],[Gross_Revenue]]-Table1[[#This Row],[Refunds]]</f>
        <v>3373</v>
      </c>
      <c r="I66" s="2">
        <f xml:space="preserve"> Table1[[#This Row],[Net Revenue]]/Table1[[#This Row],[Marketing_Spend]]</f>
        <v>6.613725490196078</v>
      </c>
      <c r="J66" s="2">
        <f>Table1[[#This Row],[Marketing_Spend]]/Table1[[#This Row],[Web_Traffic]]</f>
        <v>0.19245283018867926</v>
      </c>
    </row>
    <row r="67" spans="1:10" x14ac:dyDescent="0.3">
      <c r="A67" s="1">
        <v>45690</v>
      </c>
      <c r="B67" t="s">
        <v>9</v>
      </c>
      <c r="C67" t="s">
        <v>10</v>
      </c>
      <c r="D67">
        <v>3150</v>
      </c>
      <c r="E67">
        <v>157</v>
      </c>
      <c r="F67">
        <v>760</v>
      </c>
      <c r="G67">
        <v>3750</v>
      </c>
      <c r="H67">
        <f xml:space="preserve"> Table1[[#This Row],[Gross_Revenue]]-Table1[[#This Row],[Refunds]]</f>
        <v>2993</v>
      </c>
      <c r="I67" s="2">
        <f xml:space="preserve"> Table1[[#This Row],[Net Revenue]]/Table1[[#This Row],[Marketing_Spend]]</f>
        <v>3.9381578947368423</v>
      </c>
      <c r="J67" s="2">
        <f>Table1[[#This Row],[Marketing_Spend]]/Table1[[#This Row],[Web_Traffic]]</f>
        <v>0.20266666666666666</v>
      </c>
    </row>
    <row r="68" spans="1:10" x14ac:dyDescent="0.3">
      <c r="A68" s="1">
        <v>45691</v>
      </c>
      <c r="B68" t="s">
        <v>7</v>
      </c>
      <c r="C68" t="s">
        <v>8</v>
      </c>
      <c r="D68">
        <v>3600</v>
      </c>
      <c r="E68">
        <v>180</v>
      </c>
      <c r="F68">
        <v>520</v>
      </c>
      <c r="G68">
        <v>2700</v>
      </c>
      <c r="H68">
        <f xml:space="preserve"> Table1[[#This Row],[Gross_Revenue]]-Table1[[#This Row],[Refunds]]</f>
        <v>3420</v>
      </c>
      <c r="I68" s="2">
        <f xml:space="preserve"> Table1[[#This Row],[Net Revenue]]/Table1[[#This Row],[Marketing_Spend]]</f>
        <v>6.5769230769230766</v>
      </c>
      <c r="J68" s="2">
        <f>Table1[[#This Row],[Marketing_Spend]]/Table1[[#This Row],[Web_Traffic]]</f>
        <v>0.19259259259259259</v>
      </c>
    </row>
    <row r="69" spans="1:10" x14ac:dyDescent="0.3">
      <c r="A69" s="1">
        <v>45691</v>
      </c>
      <c r="B69" t="s">
        <v>9</v>
      </c>
      <c r="C69" t="s">
        <v>10</v>
      </c>
      <c r="D69">
        <v>3200</v>
      </c>
      <c r="E69">
        <v>160</v>
      </c>
      <c r="F69">
        <v>770</v>
      </c>
      <c r="G69">
        <v>3800</v>
      </c>
      <c r="H69">
        <f xml:space="preserve"> Table1[[#This Row],[Gross_Revenue]]-Table1[[#This Row],[Refunds]]</f>
        <v>3040</v>
      </c>
      <c r="I69" s="2">
        <f xml:space="preserve"> Table1[[#This Row],[Net Revenue]]/Table1[[#This Row],[Marketing_Spend]]</f>
        <v>3.948051948051948</v>
      </c>
      <c r="J69" s="2">
        <f>Table1[[#This Row],[Marketing_Spend]]/Table1[[#This Row],[Web_Traffic]]</f>
        <v>0.20263157894736841</v>
      </c>
    </row>
    <row r="70" spans="1:10" x14ac:dyDescent="0.3">
      <c r="A70" s="1">
        <v>45692</v>
      </c>
      <c r="B70" t="s">
        <v>7</v>
      </c>
      <c r="C70" t="s">
        <v>8</v>
      </c>
      <c r="D70">
        <v>3650</v>
      </c>
      <c r="E70">
        <v>182</v>
      </c>
      <c r="F70">
        <v>530</v>
      </c>
      <c r="G70">
        <v>2750</v>
      </c>
      <c r="H70">
        <f xml:space="preserve"> Table1[[#This Row],[Gross_Revenue]]-Table1[[#This Row],[Refunds]]</f>
        <v>3468</v>
      </c>
      <c r="I70" s="2">
        <f xml:space="preserve"> Table1[[#This Row],[Net Revenue]]/Table1[[#This Row],[Marketing_Spend]]</f>
        <v>6.5433962264150942</v>
      </c>
      <c r="J70" s="2">
        <f>Table1[[#This Row],[Marketing_Spend]]/Table1[[#This Row],[Web_Traffic]]</f>
        <v>0.19272727272727272</v>
      </c>
    </row>
    <row r="71" spans="1:10" x14ac:dyDescent="0.3">
      <c r="A71" s="1">
        <v>45692</v>
      </c>
      <c r="B71" t="s">
        <v>9</v>
      </c>
      <c r="C71" t="s">
        <v>10</v>
      </c>
      <c r="D71">
        <v>3250</v>
      </c>
      <c r="E71">
        <v>162</v>
      </c>
      <c r="F71">
        <v>780</v>
      </c>
      <c r="G71">
        <v>3850</v>
      </c>
      <c r="H71">
        <f xml:space="preserve"> Table1[[#This Row],[Gross_Revenue]]-Table1[[#This Row],[Refunds]]</f>
        <v>3088</v>
      </c>
      <c r="I71" s="2">
        <f xml:space="preserve"> Table1[[#This Row],[Net Revenue]]/Table1[[#This Row],[Marketing_Spend]]</f>
        <v>3.9589743589743591</v>
      </c>
      <c r="J71" s="2">
        <f>Table1[[#This Row],[Marketing_Spend]]/Table1[[#This Row],[Web_Traffic]]</f>
        <v>0.20259740259740261</v>
      </c>
    </row>
    <row r="72" spans="1:10" x14ac:dyDescent="0.3">
      <c r="A72" s="1">
        <v>45693</v>
      </c>
      <c r="B72" t="s">
        <v>7</v>
      </c>
      <c r="C72" t="s">
        <v>8</v>
      </c>
      <c r="D72">
        <v>3700</v>
      </c>
      <c r="E72">
        <v>185</v>
      </c>
      <c r="F72">
        <v>540</v>
      </c>
      <c r="G72">
        <v>2800</v>
      </c>
      <c r="H72">
        <f xml:space="preserve"> Table1[[#This Row],[Gross_Revenue]]-Table1[[#This Row],[Refunds]]</f>
        <v>3515</v>
      </c>
      <c r="I72" s="2">
        <f xml:space="preserve"> Table1[[#This Row],[Net Revenue]]/Table1[[#This Row],[Marketing_Spend]]</f>
        <v>6.5092592592592595</v>
      </c>
      <c r="J72" s="2">
        <f>Table1[[#This Row],[Marketing_Spend]]/Table1[[#This Row],[Web_Traffic]]</f>
        <v>0.19285714285714287</v>
      </c>
    </row>
    <row r="73" spans="1:10" x14ac:dyDescent="0.3">
      <c r="A73" s="1">
        <v>45693</v>
      </c>
      <c r="B73" t="s">
        <v>9</v>
      </c>
      <c r="C73" t="s">
        <v>10</v>
      </c>
      <c r="D73">
        <v>3300</v>
      </c>
      <c r="E73">
        <v>165</v>
      </c>
      <c r="F73">
        <v>790</v>
      </c>
      <c r="G73">
        <v>3900</v>
      </c>
      <c r="H73">
        <f xml:space="preserve"> Table1[[#This Row],[Gross_Revenue]]-Table1[[#This Row],[Refunds]]</f>
        <v>3135</v>
      </c>
      <c r="I73" s="2">
        <f xml:space="preserve"> Table1[[#This Row],[Net Revenue]]/Table1[[#This Row],[Marketing_Spend]]</f>
        <v>3.9683544303797467</v>
      </c>
      <c r="J73" s="2">
        <f>Table1[[#This Row],[Marketing_Spend]]/Table1[[#This Row],[Web_Traffic]]</f>
        <v>0.20256410256410257</v>
      </c>
    </row>
    <row r="74" spans="1:10" x14ac:dyDescent="0.3">
      <c r="A74" s="1">
        <v>45694</v>
      </c>
      <c r="B74" t="s">
        <v>7</v>
      </c>
      <c r="C74" t="s">
        <v>8</v>
      </c>
      <c r="D74">
        <v>3750</v>
      </c>
      <c r="E74">
        <v>187</v>
      </c>
      <c r="F74">
        <v>550</v>
      </c>
      <c r="G74">
        <v>2850</v>
      </c>
      <c r="H74">
        <f xml:space="preserve"> Table1[[#This Row],[Gross_Revenue]]-Table1[[#This Row],[Refunds]]</f>
        <v>3563</v>
      </c>
      <c r="I74" s="2">
        <f xml:space="preserve"> Table1[[#This Row],[Net Revenue]]/Table1[[#This Row],[Marketing_Spend]]</f>
        <v>6.4781818181818185</v>
      </c>
      <c r="J74" s="2">
        <f>Table1[[#This Row],[Marketing_Spend]]/Table1[[#This Row],[Web_Traffic]]</f>
        <v>0.19298245614035087</v>
      </c>
    </row>
    <row r="75" spans="1:10" x14ac:dyDescent="0.3">
      <c r="A75" s="1">
        <v>45694</v>
      </c>
      <c r="B75" t="s">
        <v>9</v>
      </c>
      <c r="C75" t="s">
        <v>10</v>
      </c>
      <c r="D75">
        <v>3350</v>
      </c>
      <c r="E75">
        <v>167</v>
      </c>
      <c r="F75">
        <v>800</v>
      </c>
      <c r="G75">
        <v>3950</v>
      </c>
      <c r="H75">
        <f xml:space="preserve"> Table1[[#This Row],[Gross_Revenue]]-Table1[[#This Row],[Refunds]]</f>
        <v>3183</v>
      </c>
      <c r="I75" s="2">
        <f xml:space="preserve"> Table1[[#This Row],[Net Revenue]]/Table1[[#This Row],[Marketing_Spend]]</f>
        <v>3.9787499999999998</v>
      </c>
      <c r="J75" s="2">
        <f>Table1[[#This Row],[Marketing_Spend]]/Table1[[#This Row],[Web_Traffic]]</f>
        <v>0.20253164556962025</v>
      </c>
    </row>
    <row r="76" spans="1:10" x14ac:dyDescent="0.3">
      <c r="A76" s="1">
        <v>45695</v>
      </c>
      <c r="B76" t="s">
        <v>7</v>
      </c>
      <c r="C76" t="s">
        <v>8</v>
      </c>
      <c r="D76">
        <v>3800</v>
      </c>
      <c r="E76">
        <v>190</v>
      </c>
      <c r="F76">
        <v>560</v>
      </c>
      <c r="G76">
        <v>2900</v>
      </c>
      <c r="H76">
        <f xml:space="preserve"> Table1[[#This Row],[Gross_Revenue]]-Table1[[#This Row],[Refunds]]</f>
        <v>3610</v>
      </c>
      <c r="I76" s="2">
        <f xml:space="preserve"> Table1[[#This Row],[Net Revenue]]/Table1[[#This Row],[Marketing_Spend]]</f>
        <v>6.4464285714285712</v>
      </c>
      <c r="J76" s="2">
        <f>Table1[[#This Row],[Marketing_Spend]]/Table1[[#This Row],[Web_Traffic]]</f>
        <v>0.19310344827586207</v>
      </c>
    </row>
    <row r="77" spans="1:10" x14ac:dyDescent="0.3">
      <c r="A77" s="1">
        <v>45695</v>
      </c>
      <c r="B77" t="s">
        <v>9</v>
      </c>
      <c r="C77" t="s">
        <v>10</v>
      </c>
      <c r="D77">
        <v>3400</v>
      </c>
      <c r="E77">
        <v>170</v>
      </c>
      <c r="F77">
        <v>810</v>
      </c>
      <c r="G77">
        <v>4000</v>
      </c>
      <c r="H77">
        <f xml:space="preserve"> Table1[[#This Row],[Gross_Revenue]]-Table1[[#This Row],[Refunds]]</f>
        <v>3230</v>
      </c>
      <c r="I77" s="2">
        <f xml:space="preserve"> Table1[[#This Row],[Net Revenue]]/Table1[[#This Row],[Marketing_Spend]]</f>
        <v>3.9876543209876543</v>
      </c>
      <c r="J77" s="2">
        <f>Table1[[#This Row],[Marketing_Spend]]/Table1[[#This Row],[Web_Traffic]]</f>
        <v>0.20250000000000001</v>
      </c>
    </row>
    <row r="78" spans="1:10" x14ac:dyDescent="0.3">
      <c r="A78" s="1">
        <v>45696</v>
      </c>
      <c r="B78" t="s">
        <v>7</v>
      </c>
      <c r="C78" t="s">
        <v>8</v>
      </c>
      <c r="D78">
        <v>3850</v>
      </c>
      <c r="E78">
        <v>192</v>
      </c>
      <c r="F78">
        <v>570</v>
      </c>
      <c r="G78">
        <v>2950</v>
      </c>
      <c r="H78">
        <f xml:space="preserve"> Table1[[#This Row],[Gross_Revenue]]-Table1[[#This Row],[Refunds]]</f>
        <v>3658</v>
      </c>
      <c r="I78" s="2">
        <f xml:space="preserve"> Table1[[#This Row],[Net Revenue]]/Table1[[#This Row],[Marketing_Spend]]</f>
        <v>6.4175438596491228</v>
      </c>
      <c r="J78" s="2">
        <f>Table1[[#This Row],[Marketing_Spend]]/Table1[[#This Row],[Web_Traffic]]</f>
        <v>0.19322033898305085</v>
      </c>
    </row>
    <row r="79" spans="1:10" x14ac:dyDescent="0.3">
      <c r="A79" s="1">
        <v>45696</v>
      </c>
      <c r="B79" t="s">
        <v>9</v>
      </c>
      <c r="C79" t="s">
        <v>10</v>
      </c>
      <c r="D79">
        <v>3450</v>
      </c>
      <c r="E79">
        <v>172</v>
      </c>
      <c r="F79">
        <v>820</v>
      </c>
      <c r="G79">
        <v>4050</v>
      </c>
      <c r="H79">
        <f xml:space="preserve"> Table1[[#This Row],[Gross_Revenue]]-Table1[[#This Row],[Refunds]]</f>
        <v>3278</v>
      </c>
      <c r="I79" s="2">
        <f xml:space="preserve"> Table1[[#This Row],[Net Revenue]]/Table1[[#This Row],[Marketing_Spend]]</f>
        <v>3.9975609756097561</v>
      </c>
      <c r="J79" s="2">
        <f>Table1[[#This Row],[Marketing_Spend]]/Table1[[#This Row],[Web_Traffic]]</f>
        <v>0.20246913580246914</v>
      </c>
    </row>
    <row r="80" spans="1:10" x14ac:dyDescent="0.3">
      <c r="A80" s="1">
        <v>45697</v>
      </c>
      <c r="B80" t="s">
        <v>7</v>
      </c>
      <c r="C80" t="s">
        <v>8</v>
      </c>
      <c r="D80">
        <v>3900</v>
      </c>
      <c r="E80">
        <v>195</v>
      </c>
      <c r="F80">
        <v>580</v>
      </c>
      <c r="G80">
        <v>3000</v>
      </c>
      <c r="H80">
        <f xml:space="preserve"> Table1[[#This Row],[Gross_Revenue]]-Table1[[#This Row],[Refunds]]</f>
        <v>3705</v>
      </c>
      <c r="I80" s="2">
        <f xml:space="preserve"> Table1[[#This Row],[Net Revenue]]/Table1[[#This Row],[Marketing_Spend]]</f>
        <v>6.3879310344827589</v>
      </c>
      <c r="J80" s="2">
        <f>Table1[[#This Row],[Marketing_Spend]]/Table1[[#This Row],[Web_Traffic]]</f>
        <v>0.19333333333333333</v>
      </c>
    </row>
    <row r="81" spans="1:10" x14ac:dyDescent="0.3">
      <c r="A81" s="1">
        <v>45697</v>
      </c>
      <c r="B81" t="s">
        <v>9</v>
      </c>
      <c r="C81" t="s">
        <v>10</v>
      </c>
      <c r="D81">
        <v>3500</v>
      </c>
      <c r="E81">
        <v>175</v>
      </c>
      <c r="F81">
        <v>830</v>
      </c>
      <c r="G81">
        <v>4100</v>
      </c>
      <c r="H81">
        <f xml:space="preserve"> Table1[[#This Row],[Gross_Revenue]]-Table1[[#This Row],[Refunds]]</f>
        <v>3325</v>
      </c>
      <c r="I81" s="2">
        <f xml:space="preserve"> Table1[[#This Row],[Net Revenue]]/Table1[[#This Row],[Marketing_Spend]]</f>
        <v>4.0060240963855422</v>
      </c>
      <c r="J81" s="2">
        <f>Table1[[#This Row],[Marketing_Spend]]/Table1[[#This Row],[Web_Traffic]]</f>
        <v>0.20243902439024392</v>
      </c>
    </row>
    <row r="82" spans="1:10" x14ac:dyDescent="0.3">
      <c r="A82" s="1">
        <v>45698</v>
      </c>
      <c r="B82" t="s">
        <v>7</v>
      </c>
      <c r="C82" t="s">
        <v>8</v>
      </c>
      <c r="D82">
        <v>3950</v>
      </c>
      <c r="E82">
        <v>197</v>
      </c>
      <c r="F82">
        <v>590</v>
      </c>
      <c r="G82">
        <v>3050</v>
      </c>
      <c r="H82">
        <f xml:space="preserve"> Table1[[#This Row],[Gross_Revenue]]-Table1[[#This Row],[Refunds]]</f>
        <v>3753</v>
      </c>
      <c r="I82" s="2">
        <f xml:space="preserve"> Table1[[#This Row],[Net Revenue]]/Table1[[#This Row],[Marketing_Spend]]</f>
        <v>6.3610169491525426</v>
      </c>
      <c r="J82" s="2">
        <f>Table1[[#This Row],[Marketing_Spend]]/Table1[[#This Row],[Web_Traffic]]</f>
        <v>0.19344262295081968</v>
      </c>
    </row>
    <row r="83" spans="1:10" x14ac:dyDescent="0.3">
      <c r="A83" s="1">
        <v>45698</v>
      </c>
      <c r="B83" t="s">
        <v>9</v>
      </c>
      <c r="C83" t="s">
        <v>10</v>
      </c>
      <c r="D83">
        <v>3550</v>
      </c>
      <c r="E83">
        <v>177</v>
      </c>
      <c r="F83">
        <v>840</v>
      </c>
      <c r="G83">
        <v>4150</v>
      </c>
      <c r="H83">
        <f xml:space="preserve"> Table1[[#This Row],[Gross_Revenue]]-Table1[[#This Row],[Refunds]]</f>
        <v>3373</v>
      </c>
      <c r="I83" s="2">
        <f xml:space="preserve"> Table1[[#This Row],[Net Revenue]]/Table1[[#This Row],[Marketing_Spend]]</f>
        <v>4.0154761904761909</v>
      </c>
      <c r="J83" s="2">
        <f>Table1[[#This Row],[Marketing_Spend]]/Table1[[#This Row],[Web_Traffic]]</f>
        <v>0.20240963855421687</v>
      </c>
    </row>
    <row r="84" spans="1:10" x14ac:dyDescent="0.3">
      <c r="A84" s="1">
        <v>45699</v>
      </c>
      <c r="B84" t="s">
        <v>7</v>
      </c>
      <c r="C84" t="s">
        <v>8</v>
      </c>
      <c r="D84">
        <v>4000</v>
      </c>
      <c r="E84">
        <v>200</v>
      </c>
      <c r="F84">
        <v>600</v>
      </c>
      <c r="G84">
        <v>3100</v>
      </c>
      <c r="H84">
        <f xml:space="preserve"> Table1[[#This Row],[Gross_Revenue]]-Table1[[#This Row],[Refunds]]</f>
        <v>3800</v>
      </c>
      <c r="I84" s="2">
        <f xml:space="preserve"> Table1[[#This Row],[Net Revenue]]/Table1[[#This Row],[Marketing_Spend]]</f>
        <v>6.333333333333333</v>
      </c>
      <c r="J84" s="2">
        <f>Table1[[#This Row],[Marketing_Spend]]/Table1[[#This Row],[Web_Traffic]]</f>
        <v>0.19354838709677419</v>
      </c>
    </row>
    <row r="85" spans="1:10" x14ac:dyDescent="0.3">
      <c r="A85" s="1">
        <v>45699</v>
      </c>
      <c r="B85" t="s">
        <v>9</v>
      </c>
      <c r="C85" t="s">
        <v>10</v>
      </c>
      <c r="D85">
        <v>3600</v>
      </c>
      <c r="E85">
        <v>180</v>
      </c>
      <c r="F85">
        <v>850</v>
      </c>
      <c r="G85">
        <v>4200</v>
      </c>
      <c r="H85">
        <f xml:space="preserve"> Table1[[#This Row],[Gross_Revenue]]-Table1[[#This Row],[Refunds]]</f>
        <v>3420</v>
      </c>
      <c r="I85" s="2">
        <f xml:space="preserve"> Table1[[#This Row],[Net Revenue]]/Table1[[#This Row],[Marketing_Spend]]</f>
        <v>4.0235294117647058</v>
      </c>
      <c r="J85" s="2">
        <f>Table1[[#This Row],[Marketing_Spend]]/Table1[[#This Row],[Web_Traffic]]</f>
        <v>0.20238095238095238</v>
      </c>
    </row>
    <row r="86" spans="1:10" x14ac:dyDescent="0.3">
      <c r="A86" s="1">
        <v>45700</v>
      </c>
      <c r="B86" t="s">
        <v>7</v>
      </c>
      <c r="C86" t="s">
        <v>8</v>
      </c>
      <c r="D86">
        <v>4050</v>
      </c>
      <c r="E86">
        <v>202</v>
      </c>
      <c r="F86">
        <v>610</v>
      </c>
      <c r="G86">
        <v>3150</v>
      </c>
      <c r="H86">
        <f xml:space="preserve"> Table1[[#This Row],[Gross_Revenue]]-Table1[[#This Row],[Refunds]]</f>
        <v>3848</v>
      </c>
      <c r="I86" s="2">
        <f xml:space="preserve"> Table1[[#This Row],[Net Revenue]]/Table1[[#This Row],[Marketing_Spend]]</f>
        <v>6.3081967213114751</v>
      </c>
      <c r="J86" s="2">
        <f>Table1[[#This Row],[Marketing_Spend]]/Table1[[#This Row],[Web_Traffic]]</f>
        <v>0.19365079365079366</v>
      </c>
    </row>
    <row r="87" spans="1:10" x14ac:dyDescent="0.3">
      <c r="A87" s="1">
        <v>45700</v>
      </c>
      <c r="B87" t="s">
        <v>9</v>
      </c>
      <c r="C87" t="s">
        <v>10</v>
      </c>
      <c r="D87">
        <v>3650</v>
      </c>
      <c r="E87">
        <v>182</v>
      </c>
      <c r="F87">
        <v>860</v>
      </c>
      <c r="G87">
        <v>4250</v>
      </c>
      <c r="H87">
        <f xml:space="preserve"> Table1[[#This Row],[Gross_Revenue]]-Table1[[#This Row],[Refunds]]</f>
        <v>3468</v>
      </c>
      <c r="I87" s="2">
        <f xml:space="preserve"> Table1[[#This Row],[Net Revenue]]/Table1[[#This Row],[Marketing_Spend]]</f>
        <v>4.032558139534884</v>
      </c>
      <c r="J87" s="2">
        <f>Table1[[#This Row],[Marketing_Spend]]/Table1[[#This Row],[Web_Traffic]]</f>
        <v>0.2023529411764706</v>
      </c>
    </row>
    <row r="88" spans="1:10" x14ac:dyDescent="0.3">
      <c r="A88" s="1">
        <v>45701</v>
      </c>
      <c r="B88" t="s">
        <v>7</v>
      </c>
      <c r="C88" t="s">
        <v>8</v>
      </c>
      <c r="D88">
        <v>4100</v>
      </c>
      <c r="E88">
        <v>205</v>
      </c>
      <c r="F88">
        <v>620</v>
      </c>
      <c r="G88">
        <v>3200</v>
      </c>
      <c r="H88">
        <f xml:space="preserve"> Table1[[#This Row],[Gross_Revenue]]-Table1[[#This Row],[Refunds]]</f>
        <v>3895</v>
      </c>
      <c r="I88" s="2">
        <f xml:space="preserve"> Table1[[#This Row],[Net Revenue]]/Table1[[#This Row],[Marketing_Spend]]</f>
        <v>6.282258064516129</v>
      </c>
      <c r="J88" s="2">
        <f>Table1[[#This Row],[Marketing_Spend]]/Table1[[#This Row],[Web_Traffic]]</f>
        <v>0.19375000000000001</v>
      </c>
    </row>
    <row r="89" spans="1:10" x14ac:dyDescent="0.3">
      <c r="A89" s="1">
        <v>45701</v>
      </c>
      <c r="B89" t="s">
        <v>9</v>
      </c>
      <c r="C89" t="s">
        <v>10</v>
      </c>
      <c r="D89">
        <v>3700</v>
      </c>
      <c r="E89">
        <v>185</v>
      </c>
      <c r="F89">
        <v>870</v>
      </c>
      <c r="G89">
        <v>4300</v>
      </c>
      <c r="H89">
        <f xml:space="preserve"> Table1[[#This Row],[Gross_Revenue]]-Table1[[#This Row],[Refunds]]</f>
        <v>3515</v>
      </c>
      <c r="I89" s="2">
        <f xml:space="preserve"> Table1[[#This Row],[Net Revenue]]/Table1[[#This Row],[Marketing_Spend]]</f>
        <v>4.0402298850574709</v>
      </c>
      <c r="J89" s="2">
        <f>Table1[[#This Row],[Marketing_Spend]]/Table1[[#This Row],[Web_Traffic]]</f>
        <v>0.20232558139534884</v>
      </c>
    </row>
    <row r="90" spans="1:10" x14ac:dyDescent="0.3">
      <c r="A90" s="1">
        <v>45702</v>
      </c>
      <c r="B90" t="s">
        <v>7</v>
      </c>
      <c r="C90" t="s">
        <v>8</v>
      </c>
      <c r="D90">
        <v>4150</v>
      </c>
      <c r="E90">
        <v>207</v>
      </c>
      <c r="F90">
        <v>630</v>
      </c>
      <c r="G90">
        <v>3250</v>
      </c>
      <c r="H90">
        <f xml:space="preserve"> Table1[[#This Row],[Gross_Revenue]]-Table1[[#This Row],[Refunds]]</f>
        <v>3943</v>
      </c>
      <c r="I90" s="2">
        <f xml:space="preserve"> Table1[[#This Row],[Net Revenue]]/Table1[[#This Row],[Marketing_Spend]]</f>
        <v>6.2587301587301587</v>
      </c>
      <c r="J90" s="2">
        <f>Table1[[#This Row],[Marketing_Spend]]/Table1[[#This Row],[Web_Traffic]]</f>
        <v>0.19384615384615383</v>
      </c>
    </row>
    <row r="91" spans="1:10" x14ac:dyDescent="0.3">
      <c r="A91" s="1">
        <v>45702</v>
      </c>
      <c r="B91" t="s">
        <v>9</v>
      </c>
      <c r="C91" t="s">
        <v>10</v>
      </c>
      <c r="D91">
        <v>3750</v>
      </c>
      <c r="E91">
        <v>187</v>
      </c>
      <c r="F91">
        <v>880</v>
      </c>
      <c r="G91">
        <v>4350</v>
      </c>
      <c r="H91">
        <f xml:space="preserve"> Table1[[#This Row],[Gross_Revenue]]-Table1[[#This Row],[Refunds]]</f>
        <v>3563</v>
      </c>
      <c r="I91" s="2">
        <f xml:space="preserve"> Table1[[#This Row],[Net Revenue]]/Table1[[#This Row],[Marketing_Spend]]</f>
        <v>4.0488636363636363</v>
      </c>
      <c r="J91" s="2">
        <f>Table1[[#This Row],[Marketing_Spend]]/Table1[[#This Row],[Web_Traffic]]</f>
        <v>0.20229885057471264</v>
      </c>
    </row>
    <row r="92" spans="1:10" x14ac:dyDescent="0.3">
      <c r="A92" s="1">
        <v>45703</v>
      </c>
      <c r="B92" t="s">
        <v>7</v>
      </c>
      <c r="C92" t="s">
        <v>8</v>
      </c>
      <c r="D92">
        <v>4200</v>
      </c>
      <c r="E92">
        <v>210</v>
      </c>
      <c r="F92">
        <v>640</v>
      </c>
      <c r="G92">
        <v>3300</v>
      </c>
      <c r="H92">
        <f xml:space="preserve"> Table1[[#This Row],[Gross_Revenue]]-Table1[[#This Row],[Refunds]]</f>
        <v>3990</v>
      </c>
      <c r="I92" s="2">
        <f xml:space="preserve"> Table1[[#This Row],[Net Revenue]]/Table1[[#This Row],[Marketing_Spend]]</f>
        <v>6.234375</v>
      </c>
      <c r="J92" s="2">
        <f>Table1[[#This Row],[Marketing_Spend]]/Table1[[#This Row],[Web_Traffic]]</f>
        <v>0.19393939393939394</v>
      </c>
    </row>
    <row r="93" spans="1:10" x14ac:dyDescent="0.3">
      <c r="A93" s="1">
        <v>45703</v>
      </c>
      <c r="B93" t="s">
        <v>9</v>
      </c>
      <c r="C93" t="s">
        <v>10</v>
      </c>
      <c r="D93">
        <v>3800</v>
      </c>
      <c r="E93">
        <v>190</v>
      </c>
      <c r="F93">
        <v>890</v>
      </c>
      <c r="G93">
        <v>4400</v>
      </c>
      <c r="H93">
        <f xml:space="preserve"> Table1[[#This Row],[Gross_Revenue]]-Table1[[#This Row],[Refunds]]</f>
        <v>3610</v>
      </c>
      <c r="I93" s="2">
        <f xml:space="preserve"> Table1[[#This Row],[Net Revenue]]/Table1[[#This Row],[Marketing_Spend]]</f>
        <v>4.0561797752808992</v>
      </c>
      <c r="J93" s="2">
        <f>Table1[[#This Row],[Marketing_Spend]]/Table1[[#This Row],[Web_Traffic]]</f>
        <v>0.20227272727272727</v>
      </c>
    </row>
    <row r="94" spans="1:10" x14ac:dyDescent="0.3">
      <c r="A94" s="1">
        <v>45704</v>
      </c>
      <c r="B94" t="s">
        <v>7</v>
      </c>
      <c r="C94" t="s">
        <v>8</v>
      </c>
      <c r="D94">
        <v>4250</v>
      </c>
      <c r="E94">
        <v>212</v>
      </c>
      <c r="F94">
        <v>650</v>
      </c>
      <c r="G94">
        <v>3350</v>
      </c>
      <c r="H94">
        <f xml:space="preserve"> Table1[[#This Row],[Gross_Revenue]]-Table1[[#This Row],[Refunds]]</f>
        <v>4038</v>
      </c>
      <c r="I94" s="2">
        <f xml:space="preserve"> Table1[[#This Row],[Net Revenue]]/Table1[[#This Row],[Marketing_Spend]]</f>
        <v>6.2123076923076921</v>
      </c>
      <c r="J94" s="2">
        <f>Table1[[#This Row],[Marketing_Spend]]/Table1[[#This Row],[Web_Traffic]]</f>
        <v>0.19402985074626866</v>
      </c>
    </row>
    <row r="95" spans="1:10" x14ac:dyDescent="0.3">
      <c r="A95" s="1">
        <v>45704</v>
      </c>
      <c r="B95" t="s">
        <v>9</v>
      </c>
      <c r="C95" t="s">
        <v>10</v>
      </c>
      <c r="D95">
        <v>3850</v>
      </c>
      <c r="E95">
        <v>192</v>
      </c>
      <c r="F95">
        <v>900</v>
      </c>
      <c r="G95">
        <v>4450</v>
      </c>
      <c r="H95">
        <f xml:space="preserve"> Table1[[#This Row],[Gross_Revenue]]-Table1[[#This Row],[Refunds]]</f>
        <v>3658</v>
      </c>
      <c r="I95" s="2">
        <f xml:space="preserve"> Table1[[#This Row],[Net Revenue]]/Table1[[#This Row],[Marketing_Spend]]</f>
        <v>4.0644444444444447</v>
      </c>
      <c r="J95" s="2">
        <f>Table1[[#This Row],[Marketing_Spend]]/Table1[[#This Row],[Web_Traffic]]</f>
        <v>0.20224719101123595</v>
      </c>
    </row>
    <row r="96" spans="1:10" x14ac:dyDescent="0.3">
      <c r="A96" s="1">
        <v>45705</v>
      </c>
      <c r="B96" t="s">
        <v>7</v>
      </c>
      <c r="C96" t="s">
        <v>8</v>
      </c>
      <c r="D96">
        <v>4300</v>
      </c>
      <c r="E96">
        <v>215</v>
      </c>
      <c r="F96">
        <v>660</v>
      </c>
      <c r="G96">
        <v>3400</v>
      </c>
      <c r="H96">
        <f xml:space="preserve"> Table1[[#This Row],[Gross_Revenue]]-Table1[[#This Row],[Refunds]]</f>
        <v>4085</v>
      </c>
      <c r="I96" s="2">
        <f xml:space="preserve"> Table1[[#This Row],[Net Revenue]]/Table1[[#This Row],[Marketing_Spend]]</f>
        <v>6.1893939393939394</v>
      </c>
      <c r="J96" s="2">
        <f>Table1[[#This Row],[Marketing_Spend]]/Table1[[#This Row],[Web_Traffic]]</f>
        <v>0.19411764705882353</v>
      </c>
    </row>
    <row r="97" spans="1:10" x14ac:dyDescent="0.3">
      <c r="A97" s="1">
        <v>45705</v>
      </c>
      <c r="B97" t="s">
        <v>9</v>
      </c>
      <c r="C97" t="s">
        <v>10</v>
      </c>
      <c r="D97">
        <v>3900</v>
      </c>
      <c r="E97">
        <v>195</v>
      </c>
      <c r="F97">
        <v>910</v>
      </c>
      <c r="G97">
        <v>4500</v>
      </c>
      <c r="H97">
        <f xml:space="preserve"> Table1[[#This Row],[Gross_Revenue]]-Table1[[#This Row],[Refunds]]</f>
        <v>3705</v>
      </c>
      <c r="I97" s="2">
        <f xml:space="preserve"> Table1[[#This Row],[Net Revenue]]/Table1[[#This Row],[Marketing_Spend]]</f>
        <v>4.0714285714285712</v>
      </c>
      <c r="J97" s="2">
        <f>Table1[[#This Row],[Marketing_Spend]]/Table1[[#This Row],[Web_Traffic]]</f>
        <v>0.20222222222222222</v>
      </c>
    </row>
    <row r="98" spans="1:10" x14ac:dyDescent="0.3">
      <c r="A98" s="1">
        <v>45706</v>
      </c>
      <c r="B98" t="s">
        <v>7</v>
      </c>
      <c r="C98" t="s">
        <v>8</v>
      </c>
      <c r="D98">
        <v>4350</v>
      </c>
      <c r="E98">
        <v>217</v>
      </c>
      <c r="F98">
        <v>670</v>
      </c>
      <c r="G98">
        <v>3450</v>
      </c>
      <c r="H98">
        <f xml:space="preserve"> Table1[[#This Row],[Gross_Revenue]]-Table1[[#This Row],[Refunds]]</f>
        <v>4133</v>
      </c>
      <c r="I98" s="2">
        <f xml:space="preserve"> Table1[[#This Row],[Net Revenue]]/Table1[[#This Row],[Marketing_Spend]]</f>
        <v>6.1686567164179102</v>
      </c>
      <c r="J98" s="2">
        <f>Table1[[#This Row],[Marketing_Spend]]/Table1[[#This Row],[Web_Traffic]]</f>
        <v>0.19420289855072465</v>
      </c>
    </row>
    <row r="99" spans="1:10" x14ac:dyDescent="0.3">
      <c r="A99" s="1">
        <v>45706</v>
      </c>
      <c r="B99" t="s">
        <v>9</v>
      </c>
      <c r="C99" t="s">
        <v>10</v>
      </c>
      <c r="D99">
        <v>3950</v>
      </c>
      <c r="E99">
        <v>197</v>
      </c>
      <c r="F99">
        <v>920</v>
      </c>
      <c r="G99">
        <v>4550</v>
      </c>
      <c r="H99">
        <f xml:space="preserve"> Table1[[#This Row],[Gross_Revenue]]-Table1[[#This Row],[Refunds]]</f>
        <v>3753</v>
      </c>
      <c r="I99" s="2">
        <f xml:space="preserve"> Table1[[#This Row],[Net Revenue]]/Table1[[#This Row],[Marketing_Spend]]</f>
        <v>4.0793478260869565</v>
      </c>
      <c r="J99" s="2">
        <f>Table1[[#This Row],[Marketing_Spend]]/Table1[[#This Row],[Web_Traffic]]</f>
        <v>0.2021978021978022</v>
      </c>
    </row>
    <row r="100" spans="1:10" x14ac:dyDescent="0.3">
      <c r="A100" s="1">
        <v>45707</v>
      </c>
      <c r="B100" t="s">
        <v>7</v>
      </c>
      <c r="C100" t="s">
        <v>8</v>
      </c>
      <c r="D100">
        <v>4400</v>
      </c>
      <c r="E100">
        <v>220</v>
      </c>
      <c r="F100">
        <v>680</v>
      </c>
      <c r="G100">
        <v>3500</v>
      </c>
      <c r="H100">
        <f xml:space="preserve"> Table1[[#This Row],[Gross_Revenue]]-Table1[[#This Row],[Refunds]]</f>
        <v>4180</v>
      </c>
      <c r="I100" s="2">
        <f xml:space="preserve"> Table1[[#This Row],[Net Revenue]]/Table1[[#This Row],[Marketing_Spend]]</f>
        <v>6.1470588235294121</v>
      </c>
      <c r="J100" s="2">
        <f>Table1[[#This Row],[Marketing_Spend]]/Table1[[#This Row],[Web_Traffic]]</f>
        <v>0.19428571428571428</v>
      </c>
    </row>
    <row r="101" spans="1:10" x14ac:dyDescent="0.3">
      <c r="A101" s="1">
        <v>45707</v>
      </c>
      <c r="B101" t="s">
        <v>9</v>
      </c>
      <c r="C101" t="s">
        <v>10</v>
      </c>
      <c r="D101">
        <v>4000</v>
      </c>
      <c r="E101">
        <v>200</v>
      </c>
      <c r="F101">
        <v>930</v>
      </c>
      <c r="G101">
        <v>4600</v>
      </c>
      <c r="H101">
        <f xml:space="preserve"> Table1[[#This Row],[Gross_Revenue]]-Table1[[#This Row],[Refunds]]</f>
        <v>3800</v>
      </c>
      <c r="I101" s="2">
        <f xml:space="preserve"> Table1[[#This Row],[Net Revenue]]/Table1[[#This Row],[Marketing_Spend]]</f>
        <v>4.086021505376344</v>
      </c>
      <c r="J101" s="2">
        <f>Table1[[#This Row],[Marketing_Spend]]/Table1[[#This Row],[Web_Traffic]]</f>
        <v>0.20217391304347826</v>
      </c>
    </row>
    <row r="102" spans="1:10" x14ac:dyDescent="0.3">
      <c r="A102" s="1">
        <v>45708</v>
      </c>
      <c r="B102" t="s">
        <v>7</v>
      </c>
      <c r="C102" t="s">
        <v>8</v>
      </c>
      <c r="D102">
        <v>4450</v>
      </c>
      <c r="E102">
        <v>222</v>
      </c>
      <c r="F102">
        <v>690</v>
      </c>
      <c r="G102">
        <v>3550</v>
      </c>
      <c r="H102">
        <f xml:space="preserve"> Table1[[#This Row],[Gross_Revenue]]-Table1[[#This Row],[Refunds]]</f>
        <v>4228</v>
      </c>
      <c r="I102" s="2">
        <f xml:space="preserve"> Table1[[#This Row],[Net Revenue]]/Table1[[#This Row],[Marketing_Spend]]</f>
        <v>6.1275362318840578</v>
      </c>
      <c r="J102" s="2">
        <f>Table1[[#This Row],[Marketing_Spend]]/Table1[[#This Row],[Web_Traffic]]</f>
        <v>0.19436619718309858</v>
      </c>
    </row>
    <row r="103" spans="1:10" x14ac:dyDescent="0.3">
      <c r="A103" s="1">
        <v>45708</v>
      </c>
      <c r="B103" t="s">
        <v>9</v>
      </c>
      <c r="C103" t="s">
        <v>10</v>
      </c>
      <c r="D103">
        <v>4050</v>
      </c>
      <c r="E103">
        <v>202</v>
      </c>
      <c r="F103">
        <v>940</v>
      </c>
      <c r="G103">
        <v>4650</v>
      </c>
      <c r="H103">
        <f xml:space="preserve"> Table1[[#This Row],[Gross_Revenue]]-Table1[[#This Row],[Refunds]]</f>
        <v>3848</v>
      </c>
      <c r="I103" s="2">
        <f xml:space="preserve"> Table1[[#This Row],[Net Revenue]]/Table1[[#This Row],[Marketing_Spend]]</f>
        <v>4.0936170212765957</v>
      </c>
      <c r="J103" s="2">
        <f>Table1[[#This Row],[Marketing_Spend]]/Table1[[#This Row],[Web_Traffic]]</f>
        <v>0.2021505376344086</v>
      </c>
    </row>
    <row r="104" spans="1:10" x14ac:dyDescent="0.3">
      <c r="A104" s="1">
        <v>45709</v>
      </c>
      <c r="B104" t="s">
        <v>7</v>
      </c>
      <c r="C104" t="s">
        <v>8</v>
      </c>
      <c r="D104">
        <v>4500</v>
      </c>
      <c r="E104">
        <v>225</v>
      </c>
      <c r="F104">
        <v>700</v>
      </c>
      <c r="G104">
        <v>3600</v>
      </c>
      <c r="H104">
        <f xml:space="preserve"> Table1[[#This Row],[Gross_Revenue]]-Table1[[#This Row],[Refunds]]</f>
        <v>4275</v>
      </c>
      <c r="I104" s="2">
        <f xml:space="preserve"> Table1[[#This Row],[Net Revenue]]/Table1[[#This Row],[Marketing_Spend]]</f>
        <v>6.1071428571428568</v>
      </c>
      <c r="J104" s="2">
        <f>Table1[[#This Row],[Marketing_Spend]]/Table1[[#This Row],[Web_Traffic]]</f>
        <v>0.19444444444444445</v>
      </c>
    </row>
    <row r="105" spans="1:10" x14ac:dyDescent="0.3">
      <c r="A105" s="1">
        <v>45709</v>
      </c>
      <c r="B105" t="s">
        <v>9</v>
      </c>
      <c r="C105" t="s">
        <v>10</v>
      </c>
      <c r="D105">
        <v>4100</v>
      </c>
      <c r="E105">
        <v>205</v>
      </c>
      <c r="F105">
        <v>950</v>
      </c>
      <c r="G105">
        <v>4700</v>
      </c>
      <c r="H105">
        <f xml:space="preserve"> Table1[[#This Row],[Gross_Revenue]]-Table1[[#This Row],[Refunds]]</f>
        <v>3895</v>
      </c>
      <c r="I105" s="2">
        <f xml:space="preserve"> Table1[[#This Row],[Net Revenue]]/Table1[[#This Row],[Marketing_Spend]]</f>
        <v>4.0999999999999996</v>
      </c>
      <c r="J105" s="2">
        <f>Table1[[#This Row],[Marketing_Spend]]/Table1[[#This Row],[Web_Traffic]]</f>
        <v>0.20212765957446807</v>
      </c>
    </row>
    <row r="106" spans="1:10" x14ac:dyDescent="0.3">
      <c r="A106" s="1">
        <v>45710</v>
      </c>
      <c r="B106" t="s">
        <v>7</v>
      </c>
      <c r="C106" t="s">
        <v>8</v>
      </c>
      <c r="D106">
        <v>4550</v>
      </c>
      <c r="E106">
        <v>227</v>
      </c>
      <c r="F106">
        <v>710</v>
      </c>
      <c r="G106">
        <v>3650</v>
      </c>
      <c r="H106">
        <f xml:space="preserve"> Table1[[#This Row],[Gross_Revenue]]-Table1[[#This Row],[Refunds]]</f>
        <v>4323</v>
      </c>
      <c r="I106" s="2">
        <f xml:space="preserve"> Table1[[#This Row],[Net Revenue]]/Table1[[#This Row],[Marketing_Spend]]</f>
        <v>6.0887323943661968</v>
      </c>
      <c r="J106" s="2">
        <f>Table1[[#This Row],[Marketing_Spend]]/Table1[[#This Row],[Web_Traffic]]</f>
        <v>0.19452054794520549</v>
      </c>
    </row>
    <row r="107" spans="1:10" x14ac:dyDescent="0.3">
      <c r="A107" s="1">
        <v>45710</v>
      </c>
      <c r="B107" t="s">
        <v>9</v>
      </c>
      <c r="C107" t="s">
        <v>10</v>
      </c>
      <c r="D107">
        <v>4150</v>
      </c>
      <c r="E107">
        <v>207</v>
      </c>
      <c r="F107">
        <v>960</v>
      </c>
      <c r="G107">
        <v>4750</v>
      </c>
      <c r="H107">
        <f xml:space="preserve"> Table1[[#This Row],[Gross_Revenue]]-Table1[[#This Row],[Refunds]]</f>
        <v>3943</v>
      </c>
      <c r="I107" s="2">
        <f xml:space="preserve"> Table1[[#This Row],[Net Revenue]]/Table1[[#This Row],[Marketing_Spend]]</f>
        <v>4.1072916666666668</v>
      </c>
      <c r="J107" s="2">
        <f>Table1[[#This Row],[Marketing_Spend]]/Table1[[#This Row],[Web_Traffic]]</f>
        <v>0.20210526315789473</v>
      </c>
    </row>
    <row r="108" spans="1:10" x14ac:dyDescent="0.3">
      <c r="A108" s="1">
        <v>45711</v>
      </c>
      <c r="B108" t="s">
        <v>7</v>
      </c>
      <c r="C108" t="s">
        <v>8</v>
      </c>
      <c r="D108">
        <v>4600</v>
      </c>
      <c r="E108">
        <v>230</v>
      </c>
      <c r="F108">
        <v>720</v>
      </c>
      <c r="G108">
        <v>3700</v>
      </c>
      <c r="H108">
        <f xml:space="preserve"> Table1[[#This Row],[Gross_Revenue]]-Table1[[#This Row],[Refunds]]</f>
        <v>4370</v>
      </c>
      <c r="I108" s="2">
        <f xml:space="preserve"> Table1[[#This Row],[Net Revenue]]/Table1[[#This Row],[Marketing_Spend]]</f>
        <v>6.0694444444444446</v>
      </c>
      <c r="J108" s="2">
        <f>Table1[[#This Row],[Marketing_Spend]]/Table1[[#This Row],[Web_Traffic]]</f>
        <v>0.19459459459459461</v>
      </c>
    </row>
    <row r="109" spans="1:10" x14ac:dyDescent="0.3">
      <c r="A109" s="1">
        <v>45711</v>
      </c>
      <c r="B109" t="s">
        <v>9</v>
      </c>
      <c r="C109" t="s">
        <v>10</v>
      </c>
      <c r="D109">
        <v>4200</v>
      </c>
      <c r="E109">
        <v>210</v>
      </c>
      <c r="F109">
        <v>970</v>
      </c>
      <c r="G109">
        <v>4800</v>
      </c>
      <c r="H109">
        <f xml:space="preserve"> Table1[[#This Row],[Gross_Revenue]]-Table1[[#This Row],[Refunds]]</f>
        <v>3990</v>
      </c>
      <c r="I109" s="2">
        <f xml:space="preserve"> Table1[[#This Row],[Net Revenue]]/Table1[[#This Row],[Marketing_Spend]]</f>
        <v>4.1134020618556697</v>
      </c>
      <c r="J109" s="2">
        <f>Table1[[#This Row],[Marketing_Spend]]/Table1[[#This Row],[Web_Traffic]]</f>
        <v>0.20208333333333334</v>
      </c>
    </row>
    <row r="110" spans="1:10" x14ac:dyDescent="0.3">
      <c r="A110" s="1">
        <v>45712</v>
      </c>
      <c r="B110" t="s">
        <v>7</v>
      </c>
      <c r="C110" t="s">
        <v>8</v>
      </c>
      <c r="D110">
        <v>4650</v>
      </c>
      <c r="E110">
        <v>232</v>
      </c>
      <c r="F110">
        <v>730</v>
      </c>
      <c r="G110">
        <v>3750</v>
      </c>
      <c r="H110">
        <f xml:space="preserve"> Table1[[#This Row],[Gross_Revenue]]-Table1[[#This Row],[Refunds]]</f>
        <v>4418</v>
      </c>
      <c r="I110" s="2">
        <f xml:space="preserve"> Table1[[#This Row],[Net Revenue]]/Table1[[#This Row],[Marketing_Spend]]</f>
        <v>6.0520547945205481</v>
      </c>
      <c r="J110" s="2">
        <f>Table1[[#This Row],[Marketing_Spend]]/Table1[[#This Row],[Web_Traffic]]</f>
        <v>0.19466666666666665</v>
      </c>
    </row>
    <row r="111" spans="1:10" x14ac:dyDescent="0.3">
      <c r="A111" s="1">
        <v>45712</v>
      </c>
      <c r="B111" t="s">
        <v>9</v>
      </c>
      <c r="C111" t="s">
        <v>10</v>
      </c>
      <c r="D111">
        <v>4250</v>
      </c>
      <c r="E111">
        <v>212</v>
      </c>
      <c r="F111">
        <v>980</v>
      </c>
      <c r="G111">
        <v>4850</v>
      </c>
      <c r="H111">
        <f xml:space="preserve"> Table1[[#This Row],[Gross_Revenue]]-Table1[[#This Row],[Refunds]]</f>
        <v>4038</v>
      </c>
      <c r="I111" s="2">
        <f xml:space="preserve"> Table1[[#This Row],[Net Revenue]]/Table1[[#This Row],[Marketing_Spend]]</f>
        <v>4.1204081632653065</v>
      </c>
      <c r="J111" s="2">
        <f>Table1[[#This Row],[Marketing_Spend]]/Table1[[#This Row],[Web_Traffic]]</f>
        <v>0.2020618556701031</v>
      </c>
    </row>
    <row r="112" spans="1:10" x14ac:dyDescent="0.3">
      <c r="A112" s="1">
        <v>45713</v>
      </c>
      <c r="B112" t="s">
        <v>7</v>
      </c>
      <c r="C112" t="s">
        <v>8</v>
      </c>
      <c r="D112">
        <v>4700</v>
      </c>
      <c r="E112">
        <v>235</v>
      </c>
      <c r="F112">
        <v>740</v>
      </c>
      <c r="G112">
        <v>3800</v>
      </c>
      <c r="H112">
        <f xml:space="preserve"> Table1[[#This Row],[Gross_Revenue]]-Table1[[#This Row],[Refunds]]</f>
        <v>4465</v>
      </c>
      <c r="I112" s="2">
        <f xml:space="preserve"> Table1[[#This Row],[Net Revenue]]/Table1[[#This Row],[Marketing_Spend]]</f>
        <v>6.0337837837837842</v>
      </c>
      <c r="J112" s="2">
        <f>Table1[[#This Row],[Marketing_Spend]]/Table1[[#This Row],[Web_Traffic]]</f>
        <v>0.19473684210526315</v>
      </c>
    </row>
    <row r="113" spans="1:10" x14ac:dyDescent="0.3">
      <c r="A113" s="1">
        <v>45713</v>
      </c>
      <c r="B113" t="s">
        <v>9</v>
      </c>
      <c r="C113" t="s">
        <v>10</v>
      </c>
      <c r="D113">
        <v>4300</v>
      </c>
      <c r="E113">
        <v>215</v>
      </c>
      <c r="F113">
        <v>990</v>
      </c>
      <c r="G113">
        <v>4900</v>
      </c>
      <c r="H113">
        <f xml:space="preserve"> Table1[[#This Row],[Gross_Revenue]]-Table1[[#This Row],[Refunds]]</f>
        <v>4085</v>
      </c>
      <c r="I113" s="2">
        <f xml:space="preserve"> Table1[[#This Row],[Net Revenue]]/Table1[[#This Row],[Marketing_Spend]]</f>
        <v>4.1262626262626263</v>
      </c>
      <c r="J113" s="2">
        <f>Table1[[#This Row],[Marketing_Spend]]/Table1[[#This Row],[Web_Traffic]]</f>
        <v>0.20204081632653062</v>
      </c>
    </row>
    <row r="114" spans="1:10" x14ac:dyDescent="0.3">
      <c r="A114" s="1">
        <v>45714</v>
      </c>
      <c r="B114" t="s">
        <v>7</v>
      </c>
      <c r="C114" t="s">
        <v>8</v>
      </c>
      <c r="D114">
        <v>4750</v>
      </c>
      <c r="E114">
        <v>237</v>
      </c>
      <c r="F114">
        <v>750</v>
      </c>
      <c r="G114">
        <v>3850</v>
      </c>
      <c r="H114">
        <f xml:space="preserve"> Table1[[#This Row],[Gross_Revenue]]-Table1[[#This Row],[Refunds]]</f>
        <v>4513</v>
      </c>
      <c r="I114" s="2">
        <f xml:space="preserve"> Table1[[#This Row],[Net Revenue]]/Table1[[#This Row],[Marketing_Spend]]</f>
        <v>6.0173333333333332</v>
      </c>
      <c r="J114" s="2">
        <f>Table1[[#This Row],[Marketing_Spend]]/Table1[[#This Row],[Web_Traffic]]</f>
        <v>0.19480519480519481</v>
      </c>
    </row>
    <row r="115" spans="1:10" x14ac:dyDescent="0.3">
      <c r="A115" s="1">
        <v>45714</v>
      </c>
      <c r="B115" t="s">
        <v>9</v>
      </c>
      <c r="C115" t="s">
        <v>10</v>
      </c>
      <c r="D115">
        <v>4350</v>
      </c>
      <c r="E115">
        <v>217</v>
      </c>
      <c r="F115">
        <v>1000</v>
      </c>
      <c r="G115">
        <v>4950</v>
      </c>
      <c r="H115">
        <f xml:space="preserve"> Table1[[#This Row],[Gross_Revenue]]-Table1[[#This Row],[Refunds]]</f>
        <v>4133</v>
      </c>
      <c r="I115" s="2">
        <f xml:space="preserve"> Table1[[#This Row],[Net Revenue]]/Table1[[#This Row],[Marketing_Spend]]</f>
        <v>4.133</v>
      </c>
      <c r="J115" s="2">
        <f>Table1[[#This Row],[Marketing_Spend]]/Table1[[#This Row],[Web_Traffic]]</f>
        <v>0.20202020202020202</v>
      </c>
    </row>
    <row r="116" spans="1:10" x14ac:dyDescent="0.3">
      <c r="A116" s="1">
        <v>45715</v>
      </c>
      <c r="B116" t="s">
        <v>7</v>
      </c>
      <c r="C116" t="s">
        <v>8</v>
      </c>
      <c r="D116">
        <v>4800</v>
      </c>
      <c r="E116">
        <v>240</v>
      </c>
      <c r="F116">
        <v>760</v>
      </c>
      <c r="G116">
        <v>3900</v>
      </c>
      <c r="H116">
        <f xml:space="preserve"> Table1[[#This Row],[Gross_Revenue]]-Table1[[#This Row],[Refunds]]</f>
        <v>4560</v>
      </c>
      <c r="I116" s="2">
        <f xml:space="preserve"> Table1[[#This Row],[Net Revenue]]/Table1[[#This Row],[Marketing_Spend]]</f>
        <v>6</v>
      </c>
      <c r="J116" s="2">
        <f>Table1[[#This Row],[Marketing_Spend]]/Table1[[#This Row],[Web_Traffic]]</f>
        <v>0.19487179487179487</v>
      </c>
    </row>
    <row r="117" spans="1:10" x14ac:dyDescent="0.3">
      <c r="A117" s="1">
        <v>45715</v>
      </c>
      <c r="B117" t="s">
        <v>9</v>
      </c>
      <c r="C117" t="s">
        <v>10</v>
      </c>
      <c r="D117">
        <v>4400</v>
      </c>
      <c r="E117">
        <v>220</v>
      </c>
      <c r="F117">
        <v>1010</v>
      </c>
      <c r="G117">
        <v>5000</v>
      </c>
      <c r="H117">
        <f xml:space="preserve"> Table1[[#This Row],[Gross_Revenue]]-Table1[[#This Row],[Refunds]]</f>
        <v>4180</v>
      </c>
      <c r="I117" s="2">
        <f xml:space="preserve"> Table1[[#This Row],[Net Revenue]]/Table1[[#This Row],[Marketing_Spend]]</f>
        <v>4.1386138613861387</v>
      </c>
      <c r="J117" s="2">
        <f>Table1[[#This Row],[Marketing_Spend]]/Table1[[#This Row],[Web_Traffic]]</f>
        <v>0.20200000000000001</v>
      </c>
    </row>
    <row r="118" spans="1:10" x14ac:dyDescent="0.3">
      <c r="A118" s="1">
        <v>45716</v>
      </c>
      <c r="B118" t="s">
        <v>7</v>
      </c>
      <c r="C118" t="s">
        <v>8</v>
      </c>
      <c r="D118">
        <v>4850</v>
      </c>
      <c r="E118">
        <v>242</v>
      </c>
      <c r="F118">
        <v>770</v>
      </c>
      <c r="G118">
        <v>3950</v>
      </c>
      <c r="H118">
        <f xml:space="preserve"> Table1[[#This Row],[Gross_Revenue]]-Table1[[#This Row],[Refunds]]</f>
        <v>4608</v>
      </c>
      <c r="I118" s="2">
        <f xml:space="preserve"> Table1[[#This Row],[Net Revenue]]/Table1[[#This Row],[Marketing_Spend]]</f>
        <v>5.9844155844155846</v>
      </c>
      <c r="J118" s="2">
        <f>Table1[[#This Row],[Marketing_Spend]]/Table1[[#This Row],[Web_Traffic]]</f>
        <v>0.19493670886075951</v>
      </c>
    </row>
    <row r="119" spans="1:10" x14ac:dyDescent="0.3">
      <c r="A119" s="1">
        <v>45716</v>
      </c>
      <c r="B119" t="s">
        <v>9</v>
      </c>
      <c r="C119" t="s">
        <v>10</v>
      </c>
      <c r="D119">
        <v>4450</v>
      </c>
      <c r="E119">
        <v>222</v>
      </c>
      <c r="F119">
        <v>1020</v>
      </c>
      <c r="G119">
        <v>5050</v>
      </c>
      <c r="H119">
        <f xml:space="preserve"> Table1[[#This Row],[Gross_Revenue]]-Table1[[#This Row],[Refunds]]</f>
        <v>4228</v>
      </c>
      <c r="I119" s="2">
        <f xml:space="preserve"> Table1[[#This Row],[Net Revenue]]/Table1[[#This Row],[Marketing_Spend]]</f>
        <v>4.1450980392156866</v>
      </c>
      <c r="J119" s="2">
        <f>Table1[[#This Row],[Marketing_Spend]]/Table1[[#This Row],[Web_Traffic]]</f>
        <v>0.20198019801980199</v>
      </c>
    </row>
    <row r="120" spans="1:10" x14ac:dyDescent="0.3">
      <c r="A120" s="1">
        <v>45717</v>
      </c>
      <c r="B120" t="s">
        <v>7</v>
      </c>
      <c r="C120" t="s">
        <v>8</v>
      </c>
      <c r="D120">
        <v>4900</v>
      </c>
      <c r="E120">
        <v>245</v>
      </c>
      <c r="F120">
        <v>780</v>
      </c>
      <c r="G120">
        <v>4000</v>
      </c>
      <c r="H120">
        <f xml:space="preserve"> Table1[[#This Row],[Gross_Revenue]]-Table1[[#This Row],[Refunds]]</f>
        <v>4655</v>
      </c>
      <c r="I120" s="2">
        <f xml:space="preserve"> Table1[[#This Row],[Net Revenue]]/Table1[[#This Row],[Marketing_Spend]]</f>
        <v>5.9679487179487181</v>
      </c>
      <c r="J120" s="2">
        <f>Table1[[#This Row],[Marketing_Spend]]/Table1[[#This Row],[Web_Traffic]]</f>
        <v>0.19500000000000001</v>
      </c>
    </row>
    <row r="121" spans="1:10" x14ac:dyDescent="0.3">
      <c r="A121" s="1">
        <v>45717</v>
      </c>
      <c r="B121" t="s">
        <v>9</v>
      </c>
      <c r="C121" t="s">
        <v>10</v>
      </c>
      <c r="D121">
        <v>4500</v>
      </c>
      <c r="E121">
        <v>225</v>
      </c>
      <c r="F121">
        <v>1030</v>
      </c>
      <c r="G121">
        <v>5100</v>
      </c>
      <c r="H121">
        <f xml:space="preserve"> Table1[[#This Row],[Gross_Revenue]]-Table1[[#This Row],[Refunds]]</f>
        <v>4275</v>
      </c>
      <c r="I121" s="2">
        <f xml:space="preserve"> Table1[[#This Row],[Net Revenue]]/Table1[[#This Row],[Marketing_Spend]]</f>
        <v>4.150485436893204</v>
      </c>
      <c r="J121" s="2">
        <f>Table1[[#This Row],[Marketing_Spend]]/Table1[[#This Row],[Web_Traffic]]</f>
        <v>0.20196078431372549</v>
      </c>
    </row>
    <row r="122" spans="1:10" x14ac:dyDescent="0.3">
      <c r="A122" s="1">
        <v>45718</v>
      </c>
      <c r="B122" t="s">
        <v>7</v>
      </c>
      <c r="C122" t="s">
        <v>8</v>
      </c>
      <c r="D122">
        <v>4950</v>
      </c>
      <c r="E122">
        <v>247</v>
      </c>
      <c r="F122">
        <v>790</v>
      </c>
      <c r="G122">
        <v>4050</v>
      </c>
      <c r="H122">
        <f xml:space="preserve"> Table1[[#This Row],[Gross_Revenue]]-Table1[[#This Row],[Refunds]]</f>
        <v>4703</v>
      </c>
      <c r="I122" s="2">
        <f xml:space="preserve"> Table1[[#This Row],[Net Revenue]]/Table1[[#This Row],[Marketing_Spend]]</f>
        <v>5.9531645569620251</v>
      </c>
      <c r="J122" s="2">
        <f>Table1[[#This Row],[Marketing_Spend]]/Table1[[#This Row],[Web_Traffic]]</f>
        <v>0.19506172839506172</v>
      </c>
    </row>
    <row r="123" spans="1:10" x14ac:dyDescent="0.3">
      <c r="A123" s="1">
        <v>45718</v>
      </c>
      <c r="B123" t="s">
        <v>9</v>
      </c>
      <c r="C123" t="s">
        <v>10</v>
      </c>
      <c r="D123">
        <v>4550</v>
      </c>
      <c r="E123">
        <v>227</v>
      </c>
      <c r="F123">
        <v>1040</v>
      </c>
      <c r="G123">
        <v>5150</v>
      </c>
      <c r="H123">
        <f xml:space="preserve"> Table1[[#This Row],[Gross_Revenue]]-Table1[[#This Row],[Refunds]]</f>
        <v>4323</v>
      </c>
      <c r="I123" s="2">
        <f xml:space="preserve"> Table1[[#This Row],[Net Revenue]]/Table1[[#This Row],[Marketing_Spend]]</f>
        <v>4.1567307692307693</v>
      </c>
      <c r="J123" s="2">
        <f>Table1[[#This Row],[Marketing_Spend]]/Table1[[#This Row],[Web_Traffic]]</f>
        <v>0.20194174757281552</v>
      </c>
    </row>
    <row r="124" spans="1:10" x14ac:dyDescent="0.3">
      <c r="A124" s="1">
        <v>45719</v>
      </c>
      <c r="B124" t="s">
        <v>7</v>
      </c>
      <c r="C124" t="s">
        <v>8</v>
      </c>
      <c r="D124">
        <v>5000</v>
      </c>
      <c r="E124">
        <v>250</v>
      </c>
      <c r="F124">
        <v>800</v>
      </c>
      <c r="G124">
        <v>4100</v>
      </c>
      <c r="H124">
        <f xml:space="preserve"> Table1[[#This Row],[Gross_Revenue]]-Table1[[#This Row],[Refunds]]</f>
        <v>4750</v>
      </c>
      <c r="I124" s="2">
        <f xml:space="preserve"> Table1[[#This Row],[Net Revenue]]/Table1[[#This Row],[Marketing_Spend]]</f>
        <v>5.9375</v>
      </c>
      <c r="J124" s="2">
        <f>Table1[[#This Row],[Marketing_Spend]]/Table1[[#This Row],[Web_Traffic]]</f>
        <v>0.1951219512195122</v>
      </c>
    </row>
    <row r="125" spans="1:10" x14ac:dyDescent="0.3">
      <c r="A125" s="1">
        <v>45719</v>
      </c>
      <c r="B125" t="s">
        <v>9</v>
      </c>
      <c r="C125" t="s">
        <v>10</v>
      </c>
      <c r="D125">
        <v>4600</v>
      </c>
      <c r="E125">
        <v>230</v>
      </c>
      <c r="F125">
        <v>1050</v>
      </c>
      <c r="G125">
        <v>5200</v>
      </c>
      <c r="H125">
        <f xml:space="preserve"> Table1[[#This Row],[Gross_Revenue]]-Table1[[#This Row],[Refunds]]</f>
        <v>4370</v>
      </c>
      <c r="I125" s="2">
        <f xml:space="preserve"> Table1[[#This Row],[Net Revenue]]/Table1[[#This Row],[Marketing_Spend]]</f>
        <v>4.1619047619047622</v>
      </c>
      <c r="J125" s="2">
        <f>Table1[[#This Row],[Marketing_Spend]]/Table1[[#This Row],[Web_Traffic]]</f>
        <v>0.20192307692307693</v>
      </c>
    </row>
    <row r="126" spans="1:10" x14ac:dyDescent="0.3">
      <c r="A126" s="1">
        <v>45720</v>
      </c>
      <c r="B126" t="s">
        <v>7</v>
      </c>
      <c r="C126" t="s">
        <v>8</v>
      </c>
      <c r="D126">
        <v>5050</v>
      </c>
      <c r="E126">
        <v>252</v>
      </c>
      <c r="F126">
        <v>810</v>
      </c>
      <c r="G126">
        <v>4150</v>
      </c>
      <c r="H126">
        <f xml:space="preserve"> Table1[[#This Row],[Gross_Revenue]]-Table1[[#This Row],[Refunds]]</f>
        <v>4798</v>
      </c>
      <c r="I126" s="2">
        <f xml:space="preserve"> Table1[[#This Row],[Net Revenue]]/Table1[[#This Row],[Marketing_Spend]]</f>
        <v>5.9234567901234572</v>
      </c>
      <c r="J126" s="2">
        <f>Table1[[#This Row],[Marketing_Spend]]/Table1[[#This Row],[Web_Traffic]]</f>
        <v>0.19518072289156627</v>
      </c>
    </row>
    <row r="127" spans="1:10" x14ac:dyDescent="0.3">
      <c r="A127" s="1">
        <v>45720</v>
      </c>
      <c r="B127" t="s">
        <v>9</v>
      </c>
      <c r="C127" t="s">
        <v>10</v>
      </c>
      <c r="D127">
        <v>4650</v>
      </c>
      <c r="E127">
        <v>232</v>
      </c>
      <c r="F127">
        <v>1060</v>
      </c>
      <c r="G127">
        <v>5250</v>
      </c>
      <c r="H127">
        <f xml:space="preserve"> Table1[[#This Row],[Gross_Revenue]]-Table1[[#This Row],[Refunds]]</f>
        <v>4418</v>
      </c>
      <c r="I127" s="2">
        <f xml:space="preserve"> Table1[[#This Row],[Net Revenue]]/Table1[[#This Row],[Marketing_Spend]]</f>
        <v>4.1679245283018869</v>
      </c>
      <c r="J127" s="2">
        <f>Table1[[#This Row],[Marketing_Spend]]/Table1[[#This Row],[Web_Traffic]]</f>
        <v>0.20190476190476189</v>
      </c>
    </row>
    <row r="128" spans="1:10" x14ac:dyDescent="0.3">
      <c r="A128" s="1">
        <v>45721</v>
      </c>
      <c r="B128" t="s">
        <v>7</v>
      </c>
      <c r="C128" t="s">
        <v>8</v>
      </c>
      <c r="D128">
        <v>5100</v>
      </c>
      <c r="E128">
        <v>255</v>
      </c>
      <c r="F128">
        <v>820</v>
      </c>
      <c r="G128">
        <v>4200</v>
      </c>
      <c r="H128">
        <f xml:space="preserve"> Table1[[#This Row],[Gross_Revenue]]-Table1[[#This Row],[Refunds]]</f>
        <v>4845</v>
      </c>
      <c r="I128" s="2">
        <f xml:space="preserve"> Table1[[#This Row],[Net Revenue]]/Table1[[#This Row],[Marketing_Spend]]</f>
        <v>5.9085365853658534</v>
      </c>
      <c r="J128" s="2">
        <f>Table1[[#This Row],[Marketing_Spend]]/Table1[[#This Row],[Web_Traffic]]</f>
        <v>0.19523809523809524</v>
      </c>
    </row>
    <row r="129" spans="1:10" x14ac:dyDescent="0.3">
      <c r="A129" s="1">
        <v>45721</v>
      </c>
      <c r="B129" t="s">
        <v>9</v>
      </c>
      <c r="C129" t="s">
        <v>10</v>
      </c>
      <c r="D129">
        <v>4700</v>
      </c>
      <c r="E129">
        <v>235</v>
      </c>
      <c r="F129">
        <v>1070</v>
      </c>
      <c r="G129">
        <v>5300</v>
      </c>
      <c r="H129">
        <f xml:space="preserve"> Table1[[#This Row],[Gross_Revenue]]-Table1[[#This Row],[Refunds]]</f>
        <v>4465</v>
      </c>
      <c r="I129" s="2">
        <f xml:space="preserve"> Table1[[#This Row],[Net Revenue]]/Table1[[#This Row],[Marketing_Spend]]</f>
        <v>4.1728971962616823</v>
      </c>
      <c r="J129" s="2">
        <f>Table1[[#This Row],[Marketing_Spend]]/Table1[[#This Row],[Web_Traffic]]</f>
        <v>0.2018867924528302</v>
      </c>
    </row>
    <row r="130" spans="1:10" x14ac:dyDescent="0.3">
      <c r="A130" s="1">
        <v>45722</v>
      </c>
      <c r="B130" t="s">
        <v>7</v>
      </c>
      <c r="C130" t="s">
        <v>8</v>
      </c>
      <c r="D130">
        <v>5150</v>
      </c>
      <c r="E130">
        <v>257</v>
      </c>
      <c r="F130">
        <v>830</v>
      </c>
      <c r="G130">
        <v>4250</v>
      </c>
      <c r="H130">
        <f xml:space="preserve"> Table1[[#This Row],[Gross_Revenue]]-Table1[[#This Row],[Refunds]]</f>
        <v>4893</v>
      </c>
      <c r="I130" s="2">
        <f xml:space="preserve"> Table1[[#This Row],[Net Revenue]]/Table1[[#This Row],[Marketing_Spend]]</f>
        <v>5.895180722891566</v>
      </c>
      <c r="J130" s="2">
        <f>Table1[[#This Row],[Marketing_Spend]]/Table1[[#This Row],[Web_Traffic]]</f>
        <v>0.19529411764705881</v>
      </c>
    </row>
    <row r="131" spans="1:10" x14ac:dyDescent="0.3">
      <c r="A131" s="1">
        <v>45722</v>
      </c>
      <c r="B131" t="s">
        <v>9</v>
      </c>
      <c r="C131" t="s">
        <v>10</v>
      </c>
      <c r="D131">
        <v>4750</v>
      </c>
      <c r="E131">
        <v>237</v>
      </c>
      <c r="F131">
        <v>1080</v>
      </c>
      <c r="G131">
        <v>5350</v>
      </c>
      <c r="H131">
        <f xml:space="preserve"> Table1[[#This Row],[Gross_Revenue]]-Table1[[#This Row],[Refunds]]</f>
        <v>4513</v>
      </c>
      <c r="I131" s="2">
        <f xml:space="preserve"> Table1[[#This Row],[Net Revenue]]/Table1[[#This Row],[Marketing_Spend]]</f>
        <v>4.1787037037037038</v>
      </c>
      <c r="J131" s="2">
        <f>Table1[[#This Row],[Marketing_Spend]]/Table1[[#This Row],[Web_Traffic]]</f>
        <v>0.20186915887850468</v>
      </c>
    </row>
    <row r="132" spans="1:10" x14ac:dyDescent="0.3">
      <c r="A132" s="1">
        <v>45723</v>
      </c>
      <c r="B132" t="s">
        <v>7</v>
      </c>
      <c r="C132" t="s">
        <v>8</v>
      </c>
      <c r="D132">
        <v>5200</v>
      </c>
      <c r="E132">
        <v>260</v>
      </c>
      <c r="F132">
        <v>840</v>
      </c>
      <c r="G132">
        <v>4300</v>
      </c>
      <c r="H132">
        <f xml:space="preserve"> Table1[[#This Row],[Gross_Revenue]]-Table1[[#This Row],[Refunds]]</f>
        <v>4940</v>
      </c>
      <c r="I132" s="2">
        <f xml:space="preserve"> Table1[[#This Row],[Net Revenue]]/Table1[[#This Row],[Marketing_Spend]]</f>
        <v>5.8809523809523814</v>
      </c>
      <c r="J132" s="2">
        <f>Table1[[#This Row],[Marketing_Spend]]/Table1[[#This Row],[Web_Traffic]]</f>
        <v>0.19534883720930232</v>
      </c>
    </row>
    <row r="133" spans="1:10" x14ac:dyDescent="0.3">
      <c r="A133" s="1">
        <v>45723</v>
      </c>
      <c r="B133" t="s">
        <v>9</v>
      </c>
      <c r="C133" t="s">
        <v>10</v>
      </c>
      <c r="D133">
        <v>4800</v>
      </c>
      <c r="E133">
        <v>240</v>
      </c>
      <c r="F133">
        <v>1090</v>
      </c>
      <c r="G133">
        <v>5400</v>
      </c>
      <c r="H133">
        <f xml:space="preserve"> Table1[[#This Row],[Gross_Revenue]]-Table1[[#This Row],[Refunds]]</f>
        <v>4560</v>
      </c>
      <c r="I133" s="2">
        <f xml:space="preserve"> Table1[[#This Row],[Net Revenue]]/Table1[[#This Row],[Marketing_Spend]]</f>
        <v>4.1834862385321099</v>
      </c>
      <c r="J133" s="2">
        <f>Table1[[#This Row],[Marketing_Spend]]/Table1[[#This Row],[Web_Traffic]]</f>
        <v>0.20185185185185187</v>
      </c>
    </row>
    <row r="134" spans="1:10" x14ac:dyDescent="0.3">
      <c r="A134" s="1">
        <v>45724</v>
      </c>
      <c r="B134" t="s">
        <v>7</v>
      </c>
      <c r="C134" t="s">
        <v>8</v>
      </c>
      <c r="D134">
        <v>5250</v>
      </c>
      <c r="E134">
        <v>262</v>
      </c>
      <c r="F134">
        <v>850</v>
      </c>
      <c r="G134">
        <v>4350</v>
      </c>
      <c r="H134">
        <f xml:space="preserve"> Table1[[#This Row],[Gross_Revenue]]-Table1[[#This Row],[Refunds]]</f>
        <v>4988</v>
      </c>
      <c r="I134" s="2">
        <f xml:space="preserve"> Table1[[#This Row],[Net Revenue]]/Table1[[#This Row],[Marketing_Spend]]</f>
        <v>5.868235294117647</v>
      </c>
      <c r="J134" s="2">
        <f>Table1[[#This Row],[Marketing_Spend]]/Table1[[#This Row],[Web_Traffic]]</f>
        <v>0.19540229885057472</v>
      </c>
    </row>
    <row r="135" spans="1:10" x14ac:dyDescent="0.3">
      <c r="A135" s="1">
        <v>45724</v>
      </c>
      <c r="B135" t="s">
        <v>9</v>
      </c>
      <c r="C135" t="s">
        <v>10</v>
      </c>
      <c r="D135">
        <v>4850</v>
      </c>
      <c r="E135">
        <v>242</v>
      </c>
      <c r="F135">
        <v>1100</v>
      </c>
      <c r="G135">
        <v>5450</v>
      </c>
      <c r="H135">
        <f xml:space="preserve"> Table1[[#This Row],[Gross_Revenue]]-Table1[[#This Row],[Refunds]]</f>
        <v>4608</v>
      </c>
      <c r="I135" s="2">
        <f xml:space="preserve"> Table1[[#This Row],[Net Revenue]]/Table1[[#This Row],[Marketing_Spend]]</f>
        <v>4.1890909090909094</v>
      </c>
      <c r="J135" s="2">
        <f>Table1[[#This Row],[Marketing_Spend]]/Table1[[#This Row],[Web_Traffic]]</f>
        <v>0.20183486238532111</v>
      </c>
    </row>
    <row r="136" spans="1:10" x14ac:dyDescent="0.3">
      <c r="A136" s="1">
        <v>45725</v>
      </c>
      <c r="B136" t="s">
        <v>7</v>
      </c>
      <c r="C136" t="s">
        <v>8</v>
      </c>
      <c r="D136">
        <v>5300</v>
      </c>
      <c r="E136">
        <v>265</v>
      </c>
      <c r="F136">
        <v>860</v>
      </c>
      <c r="G136">
        <v>4400</v>
      </c>
      <c r="H136">
        <f xml:space="preserve"> Table1[[#This Row],[Gross_Revenue]]-Table1[[#This Row],[Refunds]]</f>
        <v>5035</v>
      </c>
      <c r="I136" s="2">
        <f xml:space="preserve"> Table1[[#This Row],[Net Revenue]]/Table1[[#This Row],[Marketing_Spend]]</f>
        <v>5.8546511627906979</v>
      </c>
      <c r="J136" s="2">
        <f>Table1[[#This Row],[Marketing_Spend]]/Table1[[#This Row],[Web_Traffic]]</f>
        <v>0.19545454545454546</v>
      </c>
    </row>
    <row r="137" spans="1:10" x14ac:dyDescent="0.3">
      <c r="A137" s="1">
        <v>45725</v>
      </c>
      <c r="B137" t="s">
        <v>9</v>
      </c>
      <c r="C137" t="s">
        <v>10</v>
      </c>
      <c r="D137">
        <v>4900</v>
      </c>
      <c r="E137">
        <v>245</v>
      </c>
      <c r="F137">
        <v>1110</v>
      </c>
      <c r="G137">
        <v>5500</v>
      </c>
      <c r="H137">
        <f xml:space="preserve"> Table1[[#This Row],[Gross_Revenue]]-Table1[[#This Row],[Refunds]]</f>
        <v>4655</v>
      </c>
      <c r="I137" s="2">
        <f xml:space="preserve"> Table1[[#This Row],[Net Revenue]]/Table1[[#This Row],[Marketing_Spend]]</f>
        <v>4.1936936936936933</v>
      </c>
      <c r="J137" s="2">
        <f>Table1[[#This Row],[Marketing_Spend]]/Table1[[#This Row],[Web_Traffic]]</f>
        <v>0.20181818181818181</v>
      </c>
    </row>
    <row r="138" spans="1:10" x14ac:dyDescent="0.3">
      <c r="A138" s="1">
        <v>45726</v>
      </c>
      <c r="B138" t="s">
        <v>7</v>
      </c>
      <c r="C138" t="s">
        <v>8</v>
      </c>
      <c r="D138">
        <v>5350</v>
      </c>
      <c r="E138">
        <v>267</v>
      </c>
      <c r="F138">
        <v>870</v>
      </c>
      <c r="G138">
        <v>4450</v>
      </c>
      <c r="H138">
        <f xml:space="preserve"> Table1[[#This Row],[Gross_Revenue]]-Table1[[#This Row],[Refunds]]</f>
        <v>5083</v>
      </c>
      <c r="I138" s="2">
        <f xml:space="preserve"> Table1[[#This Row],[Net Revenue]]/Table1[[#This Row],[Marketing_Spend]]</f>
        <v>5.8425287356321842</v>
      </c>
      <c r="J138" s="2">
        <f>Table1[[#This Row],[Marketing_Spend]]/Table1[[#This Row],[Web_Traffic]]</f>
        <v>0.19550561797752808</v>
      </c>
    </row>
    <row r="139" spans="1:10" x14ac:dyDescent="0.3">
      <c r="A139" s="1">
        <v>45726</v>
      </c>
      <c r="B139" t="s">
        <v>9</v>
      </c>
      <c r="C139" t="s">
        <v>10</v>
      </c>
      <c r="D139">
        <v>4950</v>
      </c>
      <c r="E139">
        <v>247</v>
      </c>
      <c r="F139">
        <v>1120</v>
      </c>
      <c r="G139">
        <v>5550</v>
      </c>
      <c r="H139">
        <f xml:space="preserve"> Table1[[#This Row],[Gross_Revenue]]-Table1[[#This Row],[Refunds]]</f>
        <v>4703</v>
      </c>
      <c r="I139" s="2">
        <f xml:space="preserve"> Table1[[#This Row],[Net Revenue]]/Table1[[#This Row],[Marketing_Spend]]</f>
        <v>4.1991071428571427</v>
      </c>
      <c r="J139" s="2">
        <f>Table1[[#This Row],[Marketing_Spend]]/Table1[[#This Row],[Web_Traffic]]</f>
        <v>0.20180180180180179</v>
      </c>
    </row>
    <row r="140" spans="1:10" x14ac:dyDescent="0.3">
      <c r="A140" s="1">
        <v>45727</v>
      </c>
      <c r="B140" t="s">
        <v>7</v>
      </c>
      <c r="C140" t="s">
        <v>8</v>
      </c>
      <c r="D140">
        <v>5400</v>
      </c>
      <c r="E140">
        <v>270</v>
      </c>
      <c r="F140">
        <v>880</v>
      </c>
      <c r="G140">
        <v>4500</v>
      </c>
      <c r="H140">
        <f xml:space="preserve"> Table1[[#This Row],[Gross_Revenue]]-Table1[[#This Row],[Refunds]]</f>
        <v>5130</v>
      </c>
      <c r="I140" s="2">
        <f xml:space="preserve"> Table1[[#This Row],[Net Revenue]]/Table1[[#This Row],[Marketing_Spend]]</f>
        <v>5.8295454545454541</v>
      </c>
      <c r="J140" s="2">
        <f>Table1[[#This Row],[Marketing_Spend]]/Table1[[#This Row],[Web_Traffic]]</f>
        <v>0.19555555555555557</v>
      </c>
    </row>
    <row r="141" spans="1:10" x14ac:dyDescent="0.3">
      <c r="A141" s="1">
        <v>45727</v>
      </c>
      <c r="B141" t="s">
        <v>9</v>
      </c>
      <c r="C141" t="s">
        <v>10</v>
      </c>
      <c r="D141">
        <v>5000</v>
      </c>
      <c r="E141">
        <v>250</v>
      </c>
      <c r="F141">
        <v>1130</v>
      </c>
      <c r="G141">
        <v>5600</v>
      </c>
      <c r="H141">
        <f xml:space="preserve"> Table1[[#This Row],[Gross_Revenue]]-Table1[[#This Row],[Refunds]]</f>
        <v>4750</v>
      </c>
      <c r="I141" s="2">
        <f xml:space="preserve"> Table1[[#This Row],[Net Revenue]]/Table1[[#This Row],[Marketing_Spend]]</f>
        <v>4.2035398230088497</v>
      </c>
      <c r="J141" s="2">
        <f>Table1[[#This Row],[Marketing_Spend]]/Table1[[#This Row],[Web_Traffic]]</f>
        <v>0.20178571428571429</v>
      </c>
    </row>
    <row r="142" spans="1:10" x14ac:dyDescent="0.3">
      <c r="A142" s="1">
        <v>45728</v>
      </c>
      <c r="B142" t="s">
        <v>7</v>
      </c>
      <c r="C142" t="s">
        <v>8</v>
      </c>
      <c r="D142">
        <v>5450</v>
      </c>
      <c r="E142">
        <v>272</v>
      </c>
      <c r="F142">
        <v>890</v>
      </c>
      <c r="G142">
        <v>4550</v>
      </c>
      <c r="H142">
        <f xml:space="preserve"> Table1[[#This Row],[Gross_Revenue]]-Table1[[#This Row],[Refunds]]</f>
        <v>5178</v>
      </c>
      <c r="I142" s="2">
        <f xml:space="preserve"> Table1[[#This Row],[Net Revenue]]/Table1[[#This Row],[Marketing_Spend]]</f>
        <v>5.8179775280898873</v>
      </c>
      <c r="J142" s="2">
        <f>Table1[[#This Row],[Marketing_Spend]]/Table1[[#This Row],[Web_Traffic]]</f>
        <v>0.1956043956043956</v>
      </c>
    </row>
    <row r="143" spans="1:10" x14ac:dyDescent="0.3">
      <c r="A143" s="1">
        <v>45728</v>
      </c>
      <c r="B143" t="s">
        <v>9</v>
      </c>
      <c r="C143" t="s">
        <v>10</v>
      </c>
      <c r="D143">
        <v>5050</v>
      </c>
      <c r="E143">
        <v>252</v>
      </c>
      <c r="F143">
        <v>1140</v>
      </c>
      <c r="G143">
        <v>5650</v>
      </c>
      <c r="H143">
        <f xml:space="preserve"> Table1[[#This Row],[Gross_Revenue]]-Table1[[#This Row],[Refunds]]</f>
        <v>4798</v>
      </c>
      <c r="I143" s="2">
        <f xml:space="preserve"> Table1[[#This Row],[Net Revenue]]/Table1[[#This Row],[Marketing_Spend]]</f>
        <v>4.2087719298245618</v>
      </c>
      <c r="J143" s="2">
        <f>Table1[[#This Row],[Marketing_Spend]]/Table1[[#This Row],[Web_Traffic]]</f>
        <v>0.20176991150442478</v>
      </c>
    </row>
    <row r="144" spans="1:10" x14ac:dyDescent="0.3">
      <c r="A144" s="1">
        <v>45729</v>
      </c>
      <c r="B144" t="s">
        <v>7</v>
      </c>
      <c r="C144" t="s">
        <v>8</v>
      </c>
      <c r="D144">
        <v>5500</v>
      </c>
      <c r="E144">
        <v>275</v>
      </c>
      <c r="F144">
        <v>900</v>
      </c>
      <c r="G144">
        <v>4600</v>
      </c>
      <c r="H144">
        <f xml:space="preserve"> Table1[[#This Row],[Gross_Revenue]]-Table1[[#This Row],[Refunds]]</f>
        <v>5225</v>
      </c>
      <c r="I144" s="2">
        <f xml:space="preserve"> Table1[[#This Row],[Net Revenue]]/Table1[[#This Row],[Marketing_Spend]]</f>
        <v>5.8055555555555554</v>
      </c>
      <c r="J144" s="2">
        <f>Table1[[#This Row],[Marketing_Spend]]/Table1[[#This Row],[Web_Traffic]]</f>
        <v>0.19565217391304349</v>
      </c>
    </row>
    <row r="145" spans="1:10" x14ac:dyDescent="0.3">
      <c r="A145" s="1">
        <v>45729</v>
      </c>
      <c r="B145" t="s">
        <v>9</v>
      </c>
      <c r="C145" t="s">
        <v>10</v>
      </c>
      <c r="D145">
        <v>5100</v>
      </c>
      <c r="E145">
        <v>255</v>
      </c>
      <c r="F145">
        <v>1150</v>
      </c>
      <c r="G145">
        <v>5700</v>
      </c>
      <c r="H145">
        <f xml:space="preserve"> Table1[[#This Row],[Gross_Revenue]]-Table1[[#This Row],[Refunds]]</f>
        <v>4845</v>
      </c>
      <c r="I145" s="2">
        <f xml:space="preserve"> Table1[[#This Row],[Net Revenue]]/Table1[[#This Row],[Marketing_Spend]]</f>
        <v>4.2130434782608699</v>
      </c>
      <c r="J145" s="2">
        <f>Table1[[#This Row],[Marketing_Spend]]/Table1[[#This Row],[Web_Traffic]]</f>
        <v>0.20175438596491227</v>
      </c>
    </row>
    <row r="146" spans="1:10" x14ac:dyDescent="0.3">
      <c r="A146" s="1">
        <v>45730</v>
      </c>
      <c r="B146" t="s">
        <v>7</v>
      </c>
      <c r="C146" t="s">
        <v>8</v>
      </c>
      <c r="D146">
        <v>5550</v>
      </c>
      <c r="E146">
        <v>277</v>
      </c>
      <c r="F146">
        <v>910</v>
      </c>
      <c r="G146">
        <v>4650</v>
      </c>
      <c r="H146">
        <f xml:space="preserve"> Table1[[#This Row],[Gross_Revenue]]-Table1[[#This Row],[Refunds]]</f>
        <v>5273</v>
      </c>
      <c r="I146" s="2">
        <f xml:space="preserve"> Table1[[#This Row],[Net Revenue]]/Table1[[#This Row],[Marketing_Spend]]</f>
        <v>5.7945054945054943</v>
      </c>
      <c r="J146" s="2">
        <f>Table1[[#This Row],[Marketing_Spend]]/Table1[[#This Row],[Web_Traffic]]</f>
        <v>0.19569892473118281</v>
      </c>
    </row>
    <row r="147" spans="1:10" x14ac:dyDescent="0.3">
      <c r="A147" s="1">
        <v>45730</v>
      </c>
      <c r="B147" t="s">
        <v>9</v>
      </c>
      <c r="C147" t="s">
        <v>10</v>
      </c>
      <c r="D147">
        <v>5150</v>
      </c>
      <c r="E147">
        <v>257</v>
      </c>
      <c r="F147">
        <v>1160</v>
      </c>
      <c r="G147">
        <v>5750</v>
      </c>
      <c r="H147">
        <f xml:space="preserve"> Table1[[#This Row],[Gross_Revenue]]-Table1[[#This Row],[Refunds]]</f>
        <v>4893</v>
      </c>
      <c r="I147" s="2">
        <f xml:space="preserve"> Table1[[#This Row],[Net Revenue]]/Table1[[#This Row],[Marketing_Spend]]</f>
        <v>4.2181034482758619</v>
      </c>
      <c r="J147" s="2">
        <f>Table1[[#This Row],[Marketing_Spend]]/Table1[[#This Row],[Web_Traffic]]</f>
        <v>0.20173913043478262</v>
      </c>
    </row>
    <row r="148" spans="1:10" x14ac:dyDescent="0.3">
      <c r="A148" s="1">
        <v>45731</v>
      </c>
      <c r="B148" t="s">
        <v>7</v>
      </c>
      <c r="C148" t="s">
        <v>8</v>
      </c>
      <c r="D148">
        <v>5600</v>
      </c>
      <c r="E148">
        <v>280</v>
      </c>
      <c r="F148">
        <v>920</v>
      </c>
      <c r="G148">
        <v>4700</v>
      </c>
      <c r="H148">
        <f xml:space="preserve"> Table1[[#This Row],[Gross_Revenue]]-Table1[[#This Row],[Refunds]]</f>
        <v>5320</v>
      </c>
      <c r="I148" s="2">
        <f xml:space="preserve"> Table1[[#This Row],[Net Revenue]]/Table1[[#This Row],[Marketing_Spend]]</f>
        <v>5.7826086956521738</v>
      </c>
      <c r="J148" s="2">
        <f>Table1[[#This Row],[Marketing_Spend]]/Table1[[#This Row],[Web_Traffic]]</f>
        <v>0.19574468085106383</v>
      </c>
    </row>
    <row r="149" spans="1:10" x14ac:dyDescent="0.3">
      <c r="A149" s="1">
        <v>45731</v>
      </c>
      <c r="B149" t="s">
        <v>9</v>
      </c>
      <c r="C149" t="s">
        <v>10</v>
      </c>
      <c r="D149">
        <v>5200</v>
      </c>
      <c r="E149">
        <v>260</v>
      </c>
      <c r="F149">
        <v>1170</v>
      </c>
      <c r="G149">
        <v>5800</v>
      </c>
      <c r="H149">
        <f xml:space="preserve"> Table1[[#This Row],[Gross_Revenue]]-Table1[[#This Row],[Refunds]]</f>
        <v>4940</v>
      </c>
      <c r="I149" s="2">
        <f xml:space="preserve"> Table1[[#This Row],[Net Revenue]]/Table1[[#This Row],[Marketing_Spend]]</f>
        <v>4.2222222222222223</v>
      </c>
      <c r="J149" s="2">
        <f>Table1[[#This Row],[Marketing_Spend]]/Table1[[#This Row],[Web_Traffic]]</f>
        <v>0.20172413793103447</v>
      </c>
    </row>
    <row r="150" spans="1:10" x14ac:dyDescent="0.3">
      <c r="A150" s="1">
        <v>45732</v>
      </c>
      <c r="B150" t="s">
        <v>7</v>
      </c>
      <c r="C150" t="s">
        <v>8</v>
      </c>
      <c r="D150">
        <v>5650</v>
      </c>
      <c r="E150">
        <v>282</v>
      </c>
      <c r="F150">
        <v>930</v>
      </c>
      <c r="G150">
        <v>4750</v>
      </c>
      <c r="H150">
        <f xml:space="preserve"> Table1[[#This Row],[Gross_Revenue]]-Table1[[#This Row],[Refunds]]</f>
        <v>5368</v>
      </c>
      <c r="I150" s="2">
        <f xml:space="preserve"> Table1[[#This Row],[Net Revenue]]/Table1[[#This Row],[Marketing_Spend]]</f>
        <v>5.7720430107526886</v>
      </c>
      <c r="J150" s="2">
        <f>Table1[[#This Row],[Marketing_Spend]]/Table1[[#This Row],[Web_Traffic]]</f>
        <v>0.19578947368421051</v>
      </c>
    </row>
    <row r="151" spans="1:10" x14ac:dyDescent="0.3">
      <c r="A151" s="1">
        <v>45732</v>
      </c>
      <c r="B151" t="s">
        <v>9</v>
      </c>
      <c r="C151" t="s">
        <v>10</v>
      </c>
      <c r="D151">
        <v>5250</v>
      </c>
      <c r="E151">
        <v>262</v>
      </c>
      <c r="F151">
        <v>1180</v>
      </c>
      <c r="G151">
        <v>5850</v>
      </c>
      <c r="H151">
        <f xml:space="preserve"> Table1[[#This Row],[Gross_Revenue]]-Table1[[#This Row],[Refunds]]</f>
        <v>4988</v>
      </c>
      <c r="I151" s="2">
        <f xml:space="preserve"> Table1[[#This Row],[Net Revenue]]/Table1[[#This Row],[Marketing_Spend]]</f>
        <v>4.2271186440677964</v>
      </c>
      <c r="J151" s="2">
        <f>Table1[[#This Row],[Marketing_Spend]]/Table1[[#This Row],[Web_Traffic]]</f>
        <v>0.20170940170940171</v>
      </c>
    </row>
    <row r="152" spans="1:10" x14ac:dyDescent="0.3">
      <c r="A152" s="1">
        <v>45733</v>
      </c>
      <c r="B152" t="s">
        <v>7</v>
      </c>
      <c r="C152" t="s">
        <v>8</v>
      </c>
      <c r="D152">
        <v>5700</v>
      </c>
      <c r="E152">
        <v>285</v>
      </c>
      <c r="F152">
        <v>940</v>
      </c>
      <c r="G152">
        <v>4800</v>
      </c>
      <c r="H152">
        <f xml:space="preserve"> Table1[[#This Row],[Gross_Revenue]]-Table1[[#This Row],[Refunds]]</f>
        <v>5415</v>
      </c>
      <c r="I152" s="2">
        <f xml:space="preserve"> Table1[[#This Row],[Net Revenue]]/Table1[[#This Row],[Marketing_Spend]]</f>
        <v>5.7606382978723403</v>
      </c>
      <c r="J152" s="2">
        <f>Table1[[#This Row],[Marketing_Spend]]/Table1[[#This Row],[Web_Traffic]]</f>
        <v>0.19583333333333333</v>
      </c>
    </row>
    <row r="153" spans="1:10" x14ac:dyDescent="0.3">
      <c r="A153" s="1">
        <v>45733</v>
      </c>
      <c r="B153" t="s">
        <v>9</v>
      </c>
      <c r="C153" t="s">
        <v>10</v>
      </c>
      <c r="D153">
        <v>5300</v>
      </c>
      <c r="E153">
        <v>265</v>
      </c>
      <c r="F153">
        <v>1190</v>
      </c>
      <c r="G153">
        <v>5900</v>
      </c>
      <c r="H153">
        <f xml:space="preserve"> Table1[[#This Row],[Gross_Revenue]]-Table1[[#This Row],[Refunds]]</f>
        <v>5035</v>
      </c>
      <c r="I153" s="2">
        <f xml:space="preserve"> Table1[[#This Row],[Net Revenue]]/Table1[[#This Row],[Marketing_Spend]]</f>
        <v>4.23109243697479</v>
      </c>
      <c r="J153" s="2">
        <f>Table1[[#This Row],[Marketing_Spend]]/Table1[[#This Row],[Web_Traffic]]</f>
        <v>0.2016949152542373</v>
      </c>
    </row>
    <row r="154" spans="1:10" x14ac:dyDescent="0.3">
      <c r="A154" s="1">
        <v>45734</v>
      </c>
      <c r="B154" t="s">
        <v>7</v>
      </c>
      <c r="C154" t="s">
        <v>8</v>
      </c>
      <c r="D154">
        <v>5750</v>
      </c>
      <c r="E154">
        <v>287</v>
      </c>
      <c r="F154">
        <v>950</v>
      </c>
      <c r="G154">
        <v>4850</v>
      </c>
      <c r="H154">
        <f xml:space="preserve"> Table1[[#This Row],[Gross_Revenue]]-Table1[[#This Row],[Refunds]]</f>
        <v>5463</v>
      </c>
      <c r="I154" s="2">
        <f xml:space="preserve"> Table1[[#This Row],[Net Revenue]]/Table1[[#This Row],[Marketing_Spend]]</f>
        <v>5.7505263157894735</v>
      </c>
      <c r="J154" s="2">
        <f>Table1[[#This Row],[Marketing_Spend]]/Table1[[#This Row],[Web_Traffic]]</f>
        <v>0.19587628865979381</v>
      </c>
    </row>
    <row r="155" spans="1:10" x14ac:dyDescent="0.3">
      <c r="A155" s="1">
        <v>45734</v>
      </c>
      <c r="B155" t="s">
        <v>9</v>
      </c>
      <c r="C155" t="s">
        <v>10</v>
      </c>
      <c r="D155">
        <v>5350</v>
      </c>
      <c r="E155">
        <v>267</v>
      </c>
      <c r="F155">
        <v>1200</v>
      </c>
      <c r="G155">
        <v>5950</v>
      </c>
      <c r="H155">
        <f xml:space="preserve"> Table1[[#This Row],[Gross_Revenue]]-Table1[[#This Row],[Refunds]]</f>
        <v>5083</v>
      </c>
      <c r="I155" s="2">
        <f xml:space="preserve"> Table1[[#This Row],[Net Revenue]]/Table1[[#This Row],[Marketing_Spend]]</f>
        <v>4.2358333333333329</v>
      </c>
      <c r="J155" s="2">
        <f>Table1[[#This Row],[Marketing_Spend]]/Table1[[#This Row],[Web_Traffic]]</f>
        <v>0.20168067226890757</v>
      </c>
    </row>
    <row r="156" spans="1:10" x14ac:dyDescent="0.3">
      <c r="A156" s="1">
        <v>45735</v>
      </c>
      <c r="B156" t="s">
        <v>7</v>
      </c>
      <c r="C156" t="s">
        <v>8</v>
      </c>
      <c r="D156">
        <v>5800</v>
      </c>
      <c r="E156">
        <v>290</v>
      </c>
      <c r="F156">
        <v>960</v>
      </c>
      <c r="G156">
        <v>4900</v>
      </c>
      <c r="H156">
        <f xml:space="preserve"> Table1[[#This Row],[Gross_Revenue]]-Table1[[#This Row],[Refunds]]</f>
        <v>5510</v>
      </c>
      <c r="I156" s="2">
        <f xml:space="preserve"> Table1[[#This Row],[Net Revenue]]/Table1[[#This Row],[Marketing_Spend]]</f>
        <v>5.739583333333333</v>
      </c>
      <c r="J156" s="2">
        <f>Table1[[#This Row],[Marketing_Spend]]/Table1[[#This Row],[Web_Traffic]]</f>
        <v>0.19591836734693877</v>
      </c>
    </row>
    <row r="157" spans="1:10" x14ac:dyDescent="0.3">
      <c r="A157" s="1">
        <v>45735</v>
      </c>
      <c r="B157" t="s">
        <v>9</v>
      </c>
      <c r="C157" t="s">
        <v>10</v>
      </c>
      <c r="D157">
        <v>5400</v>
      </c>
      <c r="E157">
        <v>270</v>
      </c>
      <c r="F157">
        <v>1210</v>
      </c>
      <c r="G157">
        <v>6000</v>
      </c>
      <c r="H157">
        <f xml:space="preserve"> Table1[[#This Row],[Gross_Revenue]]-Table1[[#This Row],[Refunds]]</f>
        <v>5130</v>
      </c>
      <c r="I157" s="2">
        <f xml:space="preserve"> Table1[[#This Row],[Net Revenue]]/Table1[[#This Row],[Marketing_Spend]]</f>
        <v>4.2396694214876032</v>
      </c>
      <c r="J157" s="2">
        <f>Table1[[#This Row],[Marketing_Spend]]/Table1[[#This Row],[Web_Traffic]]</f>
        <v>0.20166666666666666</v>
      </c>
    </row>
    <row r="158" spans="1:10" x14ac:dyDescent="0.3">
      <c r="A158" s="1">
        <v>45736</v>
      </c>
      <c r="B158" t="s">
        <v>7</v>
      </c>
      <c r="C158" t="s">
        <v>8</v>
      </c>
      <c r="D158">
        <v>5850</v>
      </c>
      <c r="E158">
        <v>292</v>
      </c>
      <c r="F158">
        <v>970</v>
      </c>
      <c r="G158">
        <v>4950</v>
      </c>
      <c r="H158">
        <f xml:space="preserve"> Table1[[#This Row],[Gross_Revenue]]-Table1[[#This Row],[Refunds]]</f>
        <v>5558</v>
      </c>
      <c r="I158" s="2">
        <f xml:space="preserve"> Table1[[#This Row],[Net Revenue]]/Table1[[#This Row],[Marketing_Spend]]</f>
        <v>5.7298969072164949</v>
      </c>
      <c r="J158" s="2">
        <f>Table1[[#This Row],[Marketing_Spend]]/Table1[[#This Row],[Web_Traffic]]</f>
        <v>0.19595959595959597</v>
      </c>
    </row>
    <row r="159" spans="1:10" x14ac:dyDescent="0.3">
      <c r="A159" s="1">
        <v>45736</v>
      </c>
      <c r="B159" t="s">
        <v>9</v>
      </c>
      <c r="C159" t="s">
        <v>10</v>
      </c>
      <c r="D159">
        <v>5450</v>
      </c>
      <c r="E159">
        <v>272</v>
      </c>
      <c r="F159">
        <v>1220</v>
      </c>
      <c r="G159">
        <v>6050</v>
      </c>
      <c r="H159">
        <f xml:space="preserve"> Table1[[#This Row],[Gross_Revenue]]-Table1[[#This Row],[Refunds]]</f>
        <v>5178</v>
      </c>
      <c r="I159" s="2">
        <f xml:space="preserve"> Table1[[#This Row],[Net Revenue]]/Table1[[#This Row],[Marketing_Spend]]</f>
        <v>4.2442622950819668</v>
      </c>
      <c r="J159" s="2">
        <f>Table1[[#This Row],[Marketing_Spend]]/Table1[[#This Row],[Web_Traffic]]</f>
        <v>0.20165289256198346</v>
      </c>
    </row>
    <row r="160" spans="1:10" x14ac:dyDescent="0.3">
      <c r="A160" s="1">
        <v>45737</v>
      </c>
      <c r="B160" t="s">
        <v>7</v>
      </c>
      <c r="C160" t="s">
        <v>8</v>
      </c>
      <c r="D160">
        <v>5900</v>
      </c>
      <c r="E160">
        <v>295</v>
      </c>
      <c r="F160">
        <v>980</v>
      </c>
      <c r="G160">
        <v>5000</v>
      </c>
      <c r="H160">
        <f xml:space="preserve"> Table1[[#This Row],[Gross_Revenue]]-Table1[[#This Row],[Refunds]]</f>
        <v>5605</v>
      </c>
      <c r="I160" s="2">
        <f xml:space="preserve"> Table1[[#This Row],[Net Revenue]]/Table1[[#This Row],[Marketing_Spend]]</f>
        <v>5.7193877551020407</v>
      </c>
      <c r="J160" s="2">
        <f>Table1[[#This Row],[Marketing_Spend]]/Table1[[#This Row],[Web_Traffic]]</f>
        <v>0.19600000000000001</v>
      </c>
    </row>
    <row r="161" spans="1:10" x14ac:dyDescent="0.3">
      <c r="A161" s="1">
        <v>45737</v>
      </c>
      <c r="B161" t="s">
        <v>9</v>
      </c>
      <c r="C161" t="s">
        <v>10</v>
      </c>
      <c r="D161">
        <v>5500</v>
      </c>
      <c r="E161">
        <v>275</v>
      </c>
      <c r="F161">
        <v>1230</v>
      </c>
      <c r="G161">
        <v>6100</v>
      </c>
      <c r="H161">
        <f xml:space="preserve"> Table1[[#This Row],[Gross_Revenue]]-Table1[[#This Row],[Refunds]]</f>
        <v>5225</v>
      </c>
      <c r="I161" s="2">
        <f xml:space="preserve"> Table1[[#This Row],[Net Revenue]]/Table1[[#This Row],[Marketing_Spend]]</f>
        <v>4.2479674796747968</v>
      </c>
      <c r="J161" s="2">
        <f>Table1[[#This Row],[Marketing_Spend]]/Table1[[#This Row],[Web_Traffic]]</f>
        <v>0.20163934426229507</v>
      </c>
    </row>
    <row r="162" spans="1:10" x14ac:dyDescent="0.3">
      <c r="A162" s="1">
        <v>45738</v>
      </c>
      <c r="B162" t="s">
        <v>7</v>
      </c>
      <c r="C162" t="s">
        <v>8</v>
      </c>
      <c r="D162">
        <v>5950</v>
      </c>
      <c r="E162">
        <v>297</v>
      </c>
      <c r="F162">
        <v>990</v>
      </c>
      <c r="G162">
        <v>5050</v>
      </c>
      <c r="H162">
        <f xml:space="preserve"> Table1[[#This Row],[Gross_Revenue]]-Table1[[#This Row],[Refunds]]</f>
        <v>5653</v>
      </c>
      <c r="I162" s="2">
        <f xml:space="preserve"> Table1[[#This Row],[Net Revenue]]/Table1[[#This Row],[Marketing_Spend]]</f>
        <v>5.7101010101010097</v>
      </c>
      <c r="J162" s="2">
        <f>Table1[[#This Row],[Marketing_Spend]]/Table1[[#This Row],[Web_Traffic]]</f>
        <v>0.19603960396039605</v>
      </c>
    </row>
    <row r="163" spans="1:10" x14ac:dyDescent="0.3">
      <c r="A163" s="1">
        <v>45738</v>
      </c>
      <c r="B163" t="s">
        <v>9</v>
      </c>
      <c r="C163" t="s">
        <v>10</v>
      </c>
      <c r="D163">
        <v>5550</v>
      </c>
      <c r="E163">
        <v>277</v>
      </c>
      <c r="F163">
        <v>1240</v>
      </c>
      <c r="G163">
        <v>6150</v>
      </c>
      <c r="H163">
        <f xml:space="preserve"> Table1[[#This Row],[Gross_Revenue]]-Table1[[#This Row],[Refunds]]</f>
        <v>5273</v>
      </c>
      <c r="I163" s="2">
        <f xml:space="preserve"> Table1[[#This Row],[Net Revenue]]/Table1[[#This Row],[Marketing_Spend]]</f>
        <v>4.2524193548387093</v>
      </c>
      <c r="J163" s="2">
        <f>Table1[[#This Row],[Marketing_Spend]]/Table1[[#This Row],[Web_Traffic]]</f>
        <v>0.2016260162601626</v>
      </c>
    </row>
    <row r="164" spans="1:10" x14ac:dyDescent="0.3">
      <c r="A164" s="1">
        <v>45739</v>
      </c>
      <c r="B164" t="s">
        <v>7</v>
      </c>
      <c r="C164" t="s">
        <v>8</v>
      </c>
      <c r="D164">
        <v>6000</v>
      </c>
      <c r="E164">
        <v>300</v>
      </c>
      <c r="F164">
        <v>1000</v>
      </c>
      <c r="G164">
        <v>5100</v>
      </c>
      <c r="H164">
        <f xml:space="preserve"> Table1[[#This Row],[Gross_Revenue]]-Table1[[#This Row],[Refunds]]</f>
        <v>5700</v>
      </c>
      <c r="I164" s="2">
        <f xml:space="preserve"> Table1[[#This Row],[Net Revenue]]/Table1[[#This Row],[Marketing_Spend]]</f>
        <v>5.7</v>
      </c>
      <c r="J164" s="2">
        <f>Table1[[#This Row],[Marketing_Spend]]/Table1[[#This Row],[Web_Traffic]]</f>
        <v>0.19607843137254902</v>
      </c>
    </row>
    <row r="165" spans="1:10" x14ac:dyDescent="0.3">
      <c r="A165" s="1">
        <v>45739</v>
      </c>
      <c r="B165" t="s">
        <v>9</v>
      </c>
      <c r="C165" t="s">
        <v>10</v>
      </c>
      <c r="D165">
        <v>5600</v>
      </c>
      <c r="E165">
        <v>280</v>
      </c>
      <c r="F165">
        <v>1250</v>
      </c>
      <c r="G165">
        <v>6200</v>
      </c>
      <c r="H165">
        <f xml:space="preserve"> Table1[[#This Row],[Gross_Revenue]]-Table1[[#This Row],[Refunds]]</f>
        <v>5320</v>
      </c>
      <c r="I165" s="2">
        <f xml:space="preserve"> Table1[[#This Row],[Net Revenue]]/Table1[[#This Row],[Marketing_Spend]]</f>
        <v>4.2560000000000002</v>
      </c>
      <c r="J165" s="2">
        <f>Table1[[#This Row],[Marketing_Spend]]/Table1[[#This Row],[Web_Traffic]]</f>
        <v>0.20161290322580644</v>
      </c>
    </row>
    <row r="166" spans="1:10" x14ac:dyDescent="0.3">
      <c r="A166" s="1">
        <v>45740</v>
      </c>
      <c r="B166" t="s">
        <v>7</v>
      </c>
      <c r="C166" t="s">
        <v>8</v>
      </c>
      <c r="D166">
        <v>6050</v>
      </c>
      <c r="E166">
        <v>302</v>
      </c>
      <c r="F166">
        <v>1010</v>
      </c>
      <c r="G166">
        <v>5150</v>
      </c>
      <c r="H166">
        <f xml:space="preserve"> Table1[[#This Row],[Gross_Revenue]]-Table1[[#This Row],[Refunds]]</f>
        <v>5748</v>
      </c>
      <c r="I166" s="2">
        <f xml:space="preserve"> Table1[[#This Row],[Net Revenue]]/Table1[[#This Row],[Marketing_Spend]]</f>
        <v>5.6910891089108908</v>
      </c>
      <c r="J166" s="2">
        <f>Table1[[#This Row],[Marketing_Spend]]/Table1[[#This Row],[Web_Traffic]]</f>
        <v>0.19611650485436893</v>
      </c>
    </row>
    <row r="167" spans="1:10" x14ac:dyDescent="0.3">
      <c r="A167" s="1">
        <v>45740</v>
      </c>
      <c r="B167" t="s">
        <v>9</v>
      </c>
      <c r="C167" t="s">
        <v>10</v>
      </c>
      <c r="D167">
        <v>5650</v>
      </c>
      <c r="E167">
        <v>282</v>
      </c>
      <c r="F167">
        <v>1260</v>
      </c>
      <c r="G167">
        <v>6250</v>
      </c>
      <c r="H167">
        <f xml:space="preserve"> Table1[[#This Row],[Gross_Revenue]]-Table1[[#This Row],[Refunds]]</f>
        <v>5368</v>
      </c>
      <c r="I167" s="2">
        <f xml:space="preserve"> Table1[[#This Row],[Net Revenue]]/Table1[[#This Row],[Marketing_Spend]]</f>
        <v>4.2603174603174603</v>
      </c>
      <c r="J167" s="2">
        <f>Table1[[#This Row],[Marketing_Spend]]/Table1[[#This Row],[Web_Traffic]]</f>
        <v>0.2016</v>
      </c>
    </row>
    <row r="168" spans="1:10" x14ac:dyDescent="0.3">
      <c r="A168" s="1">
        <v>45741</v>
      </c>
      <c r="B168" t="s">
        <v>7</v>
      </c>
      <c r="C168" t="s">
        <v>8</v>
      </c>
      <c r="D168">
        <v>6100</v>
      </c>
      <c r="E168">
        <v>305</v>
      </c>
      <c r="F168">
        <v>1020</v>
      </c>
      <c r="G168">
        <v>5200</v>
      </c>
      <c r="H168">
        <f xml:space="preserve"> Table1[[#This Row],[Gross_Revenue]]-Table1[[#This Row],[Refunds]]</f>
        <v>5795</v>
      </c>
      <c r="I168" s="2">
        <f xml:space="preserve"> Table1[[#This Row],[Net Revenue]]/Table1[[#This Row],[Marketing_Spend]]</f>
        <v>5.6813725490196081</v>
      </c>
      <c r="J168" s="2">
        <f>Table1[[#This Row],[Marketing_Spend]]/Table1[[#This Row],[Web_Traffic]]</f>
        <v>0.19615384615384615</v>
      </c>
    </row>
    <row r="169" spans="1:10" x14ac:dyDescent="0.3">
      <c r="A169" s="1">
        <v>45741</v>
      </c>
      <c r="B169" t="s">
        <v>9</v>
      </c>
      <c r="C169" t="s">
        <v>10</v>
      </c>
      <c r="D169">
        <v>5700</v>
      </c>
      <c r="E169">
        <v>285</v>
      </c>
      <c r="F169">
        <v>1270</v>
      </c>
      <c r="G169">
        <v>6300</v>
      </c>
      <c r="H169">
        <f xml:space="preserve"> Table1[[#This Row],[Gross_Revenue]]-Table1[[#This Row],[Refunds]]</f>
        <v>5415</v>
      </c>
      <c r="I169" s="2">
        <f xml:space="preserve"> Table1[[#This Row],[Net Revenue]]/Table1[[#This Row],[Marketing_Spend]]</f>
        <v>4.2637795275590555</v>
      </c>
      <c r="J169" s="2">
        <f>Table1[[#This Row],[Marketing_Spend]]/Table1[[#This Row],[Web_Traffic]]</f>
        <v>0.20158730158730159</v>
      </c>
    </row>
    <row r="170" spans="1:10" x14ac:dyDescent="0.3">
      <c r="A170" s="1">
        <v>45742</v>
      </c>
      <c r="B170" t="s">
        <v>7</v>
      </c>
      <c r="C170" t="s">
        <v>8</v>
      </c>
      <c r="D170">
        <v>6150</v>
      </c>
      <c r="E170">
        <v>307</v>
      </c>
      <c r="F170">
        <v>1030</v>
      </c>
      <c r="G170">
        <v>5250</v>
      </c>
      <c r="H170">
        <f xml:space="preserve"> Table1[[#This Row],[Gross_Revenue]]-Table1[[#This Row],[Refunds]]</f>
        <v>5843</v>
      </c>
      <c r="I170" s="2">
        <f xml:space="preserve"> Table1[[#This Row],[Net Revenue]]/Table1[[#This Row],[Marketing_Spend]]</f>
        <v>5.6728155339805824</v>
      </c>
      <c r="J170" s="2">
        <f>Table1[[#This Row],[Marketing_Spend]]/Table1[[#This Row],[Web_Traffic]]</f>
        <v>0.19619047619047619</v>
      </c>
    </row>
    <row r="171" spans="1:10" x14ac:dyDescent="0.3">
      <c r="A171" s="1">
        <v>45742</v>
      </c>
      <c r="B171" t="s">
        <v>9</v>
      </c>
      <c r="C171" t="s">
        <v>10</v>
      </c>
      <c r="D171">
        <v>5750</v>
      </c>
      <c r="E171">
        <v>287</v>
      </c>
      <c r="F171">
        <v>1280</v>
      </c>
      <c r="G171">
        <v>6350</v>
      </c>
      <c r="H171">
        <f xml:space="preserve"> Table1[[#This Row],[Gross_Revenue]]-Table1[[#This Row],[Refunds]]</f>
        <v>5463</v>
      </c>
      <c r="I171" s="2">
        <f xml:space="preserve"> Table1[[#This Row],[Net Revenue]]/Table1[[#This Row],[Marketing_Spend]]</f>
        <v>4.2679687499999996</v>
      </c>
      <c r="J171" s="2">
        <f>Table1[[#This Row],[Marketing_Spend]]/Table1[[#This Row],[Web_Traffic]]</f>
        <v>0.2015748031496063</v>
      </c>
    </row>
    <row r="172" spans="1:10" x14ac:dyDescent="0.3">
      <c r="A172" s="1">
        <v>45743</v>
      </c>
      <c r="B172" t="s">
        <v>7</v>
      </c>
      <c r="C172" t="s">
        <v>8</v>
      </c>
      <c r="D172">
        <v>6200</v>
      </c>
      <c r="E172">
        <v>310</v>
      </c>
      <c r="F172">
        <v>1040</v>
      </c>
      <c r="G172">
        <v>5300</v>
      </c>
      <c r="H172">
        <f xml:space="preserve"> Table1[[#This Row],[Gross_Revenue]]-Table1[[#This Row],[Refunds]]</f>
        <v>5890</v>
      </c>
      <c r="I172" s="2">
        <f xml:space="preserve"> Table1[[#This Row],[Net Revenue]]/Table1[[#This Row],[Marketing_Spend]]</f>
        <v>5.6634615384615383</v>
      </c>
      <c r="J172" s="2">
        <f>Table1[[#This Row],[Marketing_Spend]]/Table1[[#This Row],[Web_Traffic]]</f>
        <v>0.19622641509433963</v>
      </c>
    </row>
    <row r="173" spans="1:10" x14ac:dyDescent="0.3">
      <c r="A173" s="1">
        <v>45743</v>
      </c>
      <c r="B173" t="s">
        <v>9</v>
      </c>
      <c r="C173" t="s">
        <v>10</v>
      </c>
      <c r="D173">
        <v>5800</v>
      </c>
      <c r="E173">
        <v>290</v>
      </c>
      <c r="F173">
        <v>1290</v>
      </c>
      <c r="G173">
        <v>6400</v>
      </c>
      <c r="H173">
        <f xml:space="preserve"> Table1[[#This Row],[Gross_Revenue]]-Table1[[#This Row],[Refunds]]</f>
        <v>5510</v>
      </c>
      <c r="I173" s="2">
        <f xml:space="preserve"> Table1[[#This Row],[Net Revenue]]/Table1[[#This Row],[Marketing_Spend]]</f>
        <v>4.2713178294573639</v>
      </c>
      <c r="J173" s="2">
        <f>Table1[[#This Row],[Marketing_Spend]]/Table1[[#This Row],[Web_Traffic]]</f>
        <v>0.20156250000000001</v>
      </c>
    </row>
    <row r="174" spans="1:10" x14ac:dyDescent="0.3">
      <c r="A174" s="1">
        <v>45744</v>
      </c>
      <c r="B174" t="s">
        <v>7</v>
      </c>
      <c r="C174" t="s">
        <v>8</v>
      </c>
      <c r="D174">
        <v>6250</v>
      </c>
      <c r="E174">
        <v>312</v>
      </c>
      <c r="F174">
        <v>1050</v>
      </c>
      <c r="G174">
        <v>5350</v>
      </c>
      <c r="H174">
        <f xml:space="preserve"> Table1[[#This Row],[Gross_Revenue]]-Table1[[#This Row],[Refunds]]</f>
        <v>5938</v>
      </c>
      <c r="I174" s="2">
        <f xml:space="preserve"> Table1[[#This Row],[Net Revenue]]/Table1[[#This Row],[Marketing_Spend]]</f>
        <v>5.6552380952380954</v>
      </c>
      <c r="J174" s="2">
        <f>Table1[[#This Row],[Marketing_Spend]]/Table1[[#This Row],[Web_Traffic]]</f>
        <v>0.19626168224299065</v>
      </c>
    </row>
    <row r="175" spans="1:10" x14ac:dyDescent="0.3">
      <c r="A175" s="1">
        <v>45744</v>
      </c>
      <c r="B175" t="s">
        <v>9</v>
      </c>
      <c r="C175" t="s">
        <v>10</v>
      </c>
      <c r="D175">
        <v>5850</v>
      </c>
      <c r="E175">
        <v>292</v>
      </c>
      <c r="F175">
        <v>1300</v>
      </c>
      <c r="G175">
        <v>6450</v>
      </c>
      <c r="H175">
        <f xml:space="preserve"> Table1[[#This Row],[Gross_Revenue]]-Table1[[#This Row],[Refunds]]</f>
        <v>5558</v>
      </c>
      <c r="I175" s="2">
        <f xml:space="preserve"> Table1[[#This Row],[Net Revenue]]/Table1[[#This Row],[Marketing_Spend]]</f>
        <v>4.2753846153846151</v>
      </c>
      <c r="J175" s="2">
        <f>Table1[[#This Row],[Marketing_Spend]]/Table1[[#This Row],[Web_Traffic]]</f>
        <v>0.20155038759689922</v>
      </c>
    </row>
    <row r="176" spans="1:10" x14ac:dyDescent="0.3">
      <c r="A176" s="1">
        <v>45745</v>
      </c>
      <c r="B176" t="s">
        <v>7</v>
      </c>
      <c r="C176" t="s">
        <v>8</v>
      </c>
      <c r="D176">
        <v>6300</v>
      </c>
      <c r="E176">
        <v>315</v>
      </c>
      <c r="F176">
        <v>1060</v>
      </c>
      <c r="G176">
        <v>5400</v>
      </c>
      <c r="H176">
        <f xml:space="preserve"> Table1[[#This Row],[Gross_Revenue]]-Table1[[#This Row],[Refunds]]</f>
        <v>5985</v>
      </c>
      <c r="I176" s="2">
        <f xml:space="preserve"> Table1[[#This Row],[Net Revenue]]/Table1[[#This Row],[Marketing_Spend]]</f>
        <v>5.6462264150943398</v>
      </c>
      <c r="J176" s="2">
        <f>Table1[[#This Row],[Marketing_Spend]]/Table1[[#This Row],[Web_Traffic]]</f>
        <v>0.1962962962962963</v>
      </c>
    </row>
    <row r="177" spans="1:10" x14ac:dyDescent="0.3">
      <c r="A177" s="1">
        <v>45745</v>
      </c>
      <c r="B177" t="s">
        <v>9</v>
      </c>
      <c r="C177" t="s">
        <v>10</v>
      </c>
      <c r="D177">
        <v>5900</v>
      </c>
      <c r="E177">
        <v>295</v>
      </c>
      <c r="F177">
        <v>1310</v>
      </c>
      <c r="G177">
        <v>6500</v>
      </c>
      <c r="H177">
        <f xml:space="preserve"> Table1[[#This Row],[Gross_Revenue]]-Table1[[#This Row],[Refunds]]</f>
        <v>5605</v>
      </c>
      <c r="I177" s="2">
        <f xml:space="preserve"> Table1[[#This Row],[Net Revenue]]/Table1[[#This Row],[Marketing_Spend]]</f>
        <v>4.278625954198473</v>
      </c>
      <c r="J177" s="2">
        <f>Table1[[#This Row],[Marketing_Spend]]/Table1[[#This Row],[Web_Traffic]]</f>
        <v>0.20153846153846153</v>
      </c>
    </row>
    <row r="178" spans="1:10" x14ac:dyDescent="0.3">
      <c r="A178" s="1">
        <v>45746</v>
      </c>
      <c r="B178" t="s">
        <v>7</v>
      </c>
      <c r="C178" t="s">
        <v>8</v>
      </c>
      <c r="D178">
        <v>6350</v>
      </c>
      <c r="E178">
        <v>317</v>
      </c>
      <c r="F178">
        <v>1070</v>
      </c>
      <c r="G178">
        <v>5450</v>
      </c>
      <c r="H178">
        <f xml:space="preserve"> Table1[[#This Row],[Gross_Revenue]]-Table1[[#This Row],[Refunds]]</f>
        <v>6033</v>
      </c>
      <c r="I178" s="2">
        <f xml:space="preserve"> Table1[[#This Row],[Net Revenue]]/Table1[[#This Row],[Marketing_Spend]]</f>
        <v>5.6383177570093457</v>
      </c>
      <c r="J178" s="2">
        <f>Table1[[#This Row],[Marketing_Spend]]/Table1[[#This Row],[Web_Traffic]]</f>
        <v>0.19633027522935781</v>
      </c>
    </row>
    <row r="179" spans="1:10" x14ac:dyDescent="0.3">
      <c r="A179" s="1">
        <v>45746</v>
      </c>
      <c r="B179" t="s">
        <v>9</v>
      </c>
      <c r="C179" t="s">
        <v>10</v>
      </c>
      <c r="D179">
        <v>5950</v>
      </c>
      <c r="E179">
        <v>297</v>
      </c>
      <c r="F179">
        <v>1320</v>
      </c>
      <c r="G179">
        <v>6550</v>
      </c>
      <c r="H179">
        <f xml:space="preserve"> Table1[[#This Row],[Gross_Revenue]]-Table1[[#This Row],[Refunds]]</f>
        <v>5653</v>
      </c>
      <c r="I179" s="2">
        <f xml:space="preserve"> Table1[[#This Row],[Net Revenue]]/Table1[[#This Row],[Marketing_Spend]]</f>
        <v>4.2825757575757573</v>
      </c>
      <c r="J179" s="2">
        <f>Table1[[#This Row],[Marketing_Spend]]/Table1[[#This Row],[Web_Traffic]]</f>
        <v>0.20152671755725191</v>
      </c>
    </row>
    <row r="180" spans="1:10" x14ac:dyDescent="0.3">
      <c r="A180" s="1">
        <v>45747</v>
      </c>
      <c r="B180" t="s">
        <v>7</v>
      </c>
      <c r="C180" t="s">
        <v>8</v>
      </c>
      <c r="D180">
        <v>6400</v>
      </c>
      <c r="E180">
        <v>320</v>
      </c>
      <c r="F180">
        <v>1080</v>
      </c>
      <c r="G180">
        <v>5500</v>
      </c>
      <c r="H180">
        <f xml:space="preserve"> Table1[[#This Row],[Gross_Revenue]]-Table1[[#This Row],[Refunds]]</f>
        <v>6080</v>
      </c>
      <c r="I180" s="2">
        <f xml:space="preserve"> Table1[[#This Row],[Net Revenue]]/Table1[[#This Row],[Marketing_Spend]]</f>
        <v>5.6296296296296298</v>
      </c>
      <c r="J180" s="2">
        <f>Table1[[#This Row],[Marketing_Spend]]/Table1[[#This Row],[Web_Traffic]]</f>
        <v>0.19636363636363635</v>
      </c>
    </row>
    <row r="181" spans="1:10" x14ac:dyDescent="0.3">
      <c r="A181" s="1">
        <v>45747</v>
      </c>
      <c r="B181" t="s">
        <v>9</v>
      </c>
      <c r="C181" t="s">
        <v>10</v>
      </c>
      <c r="D181">
        <v>6000</v>
      </c>
      <c r="E181">
        <v>300</v>
      </c>
      <c r="F181">
        <v>1330</v>
      </c>
      <c r="G181">
        <v>6600</v>
      </c>
      <c r="H181">
        <f xml:space="preserve"> Table1[[#This Row],[Gross_Revenue]]-Table1[[#This Row],[Refunds]]</f>
        <v>5700</v>
      </c>
      <c r="I181" s="2">
        <f xml:space="preserve"> Table1[[#This Row],[Net Revenue]]/Table1[[#This Row],[Marketing_Spend]]</f>
        <v>4.2857142857142856</v>
      </c>
      <c r="J181" s="2">
        <f>Table1[[#This Row],[Marketing_Spend]]/Table1[[#This Row],[Web_Traffic]]</f>
        <v>0.20151515151515151</v>
      </c>
    </row>
    <row r="182" spans="1:10" x14ac:dyDescent="0.3">
      <c r="A182" s="1">
        <v>45748</v>
      </c>
      <c r="B182" t="s">
        <v>7</v>
      </c>
      <c r="C182" t="s">
        <v>8</v>
      </c>
      <c r="D182">
        <v>6500</v>
      </c>
      <c r="E182">
        <v>325</v>
      </c>
      <c r="F182">
        <v>1100</v>
      </c>
      <c r="G182">
        <v>5600</v>
      </c>
      <c r="H182">
        <f xml:space="preserve"> Table1[[#This Row],[Gross_Revenue]]-Table1[[#This Row],[Refunds]]</f>
        <v>6175</v>
      </c>
      <c r="I182" s="2">
        <f xml:space="preserve"> Table1[[#This Row],[Net Revenue]]/Table1[[#This Row],[Marketing_Spend]]</f>
        <v>5.6136363636363633</v>
      </c>
      <c r="J182" s="2">
        <f>Table1[[#This Row],[Marketing_Spend]]/Table1[[#This Row],[Web_Traffic]]</f>
        <v>0.19642857142857142</v>
      </c>
    </row>
    <row r="183" spans="1:10" x14ac:dyDescent="0.3">
      <c r="A183" s="1">
        <v>45748</v>
      </c>
      <c r="B183" t="s">
        <v>9</v>
      </c>
      <c r="C183" t="s">
        <v>10</v>
      </c>
      <c r="D183">
        <v>6100</v>
      </c>
      <c r="E183">
        <v>305</v>
      </c>
      <c r="F183">
        <v>1400</v>
      </c>
      <c r="G183">
        <v>6700</v>
      </c>
      <c r="H183">
        <f xml:space="preserve"> Table1[[#This Row],[Gross_Revenue]]-Table1[[#This Row],[Refunds]]</f>
        <v>5795</v>
      </c>
      <c r="I183" s="2">
        <f xml:space="preserve"> Table1[[#This Row],[Net Revenue]]/Table1[[#This Row],[Marketing_Spend]]</f>
        <v>4.1392857142857142</v>
      </c>
      <c r="J183" s="2">
        <f>Table1[[#This Row],[Marketing_Spend]]/Table1[[#This Row],[Web_Traffic]]</f>
        <v>0.20895522388059701</v>
      </c>
    </row>
    <row r="184" spans="1:10" x14ac:dyDescent="0.3">
      <c r="A184" s="1">
        <v>45749</v>
      </c>
      <c r="B184" t="s">
        <v>7</v>
      </c>
      <c r="C184" t="s">
        <v>8</v>
      </c>
      <c r="D184">
        <v>6600</v>
      </c>
      <c r="E184">
        <v>330</v>
      </c>
      <c r="F184">
        <v>1150</v>
      </c>
      <c r="G184">
        <v>5700</v>
      </c>
      <c r="H184">
        <f xml:space="preserve"> Table1[[#This Row],[Gross_Revenue]]-Table1[[#This Row],[Refunds]]</f>
        <v>6270</v>
      </c>
      <c r="I184" s="2">
        <f xml:space="preserve"> Table1[[#This Row],[Net Revenue]]/Table1[[#This Row],[Marketing_Spend]]</f>
        <v>5.4521739130434783</v>
      </c>
      <c r="J184" s="2">
        <f>Table1[[#This Row],[Marketing_Spend]]/Table1[[#This Row],[Web_Traffic]]</f>
        <v>0.20175438596491227</v>
      </c>
    </row>
    <row r="185" spans="1:10" x14ac:dyDescent="0.3">
      <c r="A185" s="1">
        <v>45749</v>
      </c>
      <c r="B185" t="s">
        <v>9</v>
      </c>
      <c r="C185" t="s">
        <v>10</v>
      </c>
      <c r="D185">
        <v>6200</v>
      </c>
      <c r="E185">
        <v>310</v>
      </c>
      <c r="F185">
        <v>1450</v>
      </c>
      <c r="G185">
        <v>6800</v>
      </c>
      <c r="H185">
        <f xml:space="preserve"> Table1[[#This Row],[Gross_Revenue]]-Table1[[#This Row],[Refunds]]</f>
        <v>5890</v>
      </c>
      <c r="I185" s="2">
        <f xml:space="preserve"> Table1[[#This Row],[Net Revenue]]/Table1[[#This Row],[Marketing_Spend]]</f>
        <v>4.0620689655172413</v>
      </c>
      <c r="J185" s="2">
        <f>Table1[[#This Row],[Marketing_Spend]]/Table1[[#This Row],[Web_Traffic]]</f>
        <v>0.21323529411764705</v>
      </c>
    </row>
    <row r="186" spans="1:10" x14ac:dyDescent="0.3">
      <c r="A186" s="1">
        <v>45750</v>
      </c>
      <c r="B186" t="s">
        <v>7</v>
      </c>
      <c r="C186" t="s">
        <v>8</v>
      </c>
      <c r="D186">
        <v>6700</v>
      </c>
      <c r="E186">
        <v>335</v>
      </c>
      <c r="F186">
        <v>1200</v>
      </c>
      <c r="G186">
        <v>5800</v>
      </c>
      <c r="H186">
        <f xml:space="preserve"> Table1[[#This Row],[Gross_Revenue]]-Table1[[#This Row],[Refunds]]</f>
        <v>6365</v>
      </c>
      <c r="I186" s="2">
        <f xml:space="preserve"> Table1[[#This Row],[Net Revenue]]/Table1[[#This Row],[Marketing_Spend]]</f>
        <v>5.3041666666666663</v>
      </c>
      <c r="J186" s="2">
        <f>Table1[[#This Row],[Marketing_Spend]]/Table1[[#This Row],[Web_Traffic]]</f>
        <v>0.20689655172413793</v>
      </c>
    </row>
    <row r="187" spans="1:10" x14ac:dyDescent="0.3">
      <c r="A187" s="1">
        <v>45750</v>
      </c>
      <c r="B187" t="s">
        <v>9</v>
      </c>
      <c r="C187" t="s">
        <v>10</v>
      </c>
      <c r="D187">
        <v>6300</v>
      </c>
      <c r="E187">
        <v>315</v>
      </c>
      <c r="F187">
        <v>1500</v>
      </c>
      <c r="G187">
        <v>6900</v>
      </c>
      <c r="H187">
        <f xml:space="preserve"> Table1[[#This Row],[Gross_Revenue]]-Table1[[#This Row],[Refunds]]</f>
        <v>5985</v>
      </c>
      <c r="I187" s="2">
        <f xml:space="preserve"> Table1[[#This Row],[Net Revenue]]/Table1[[#This Row],[Marketing_Spend]]</f>
        <v>3.99</v>
      </c>
      <c r="J187" s="2">
        <f>Table1[[#This Row],[Marketing_Spend]]/Table1[[#This Row],[Web_Traffic]]</f>
        <v>0.21739130434782608</v>
      </c>
    </row>
    <row r="188" spans="1:10" x14ac:dyDescent="0.3">
      <c r="A188" s="1">
        <v>45751</v>
      </c>
      <c r="B188" t="s">
        <v>7</v>
      </c>
      <c r="C188" t="s">
        <v>8</v>
      </c>
      <c r="D188">
        <v>6800</v>
      </c>
      <c r="E188">
        <v>340</v>
      </c>
      <c r="F188">
        <v>1250</v>
      </c>
      <c r="G188">
        <v>5900</v>
      </c>
      <c r="H188">
        <f xml:space="preserve"> Table1[[#This Row],[Gross_Revenue]]-Table1[[#This Row],[Refunds]]</f>
        <v>6460</v>
      </c>
      <c r="I188" s="2">
        <f xml:space="preserve"> Table1[[#This Row],[Net Revenue]]/Table1[[#This Row],[Marketing_Spend]]</f>
        <v>5.1680000000000001</v>
      </c>
      <c r="J188" s="2">
        <f>Table1[[#This Row],[Marketing_Spend]]/Table1[[#This Row],[Web_Traffic]]</f>
        <v>0.21186440677966101</v>
      </c>
    </row>
    <row r="189" spans="1:10" x14ac:dyDescent="0.3">
      <c r="A189" s="1">
        <v>45751</v>
      </c>
      <c r="B189" t="s">
        <v>9</v>
      </c>
      <c r="C189" t="s">
        <v>10</v>
      </c>
      <c r="D189">
        <v>6400</v>
      </c>
      <c r="E189">
        <v>320</v>
      </c>
      <c r="F189">
        <v>1550</v>
      </c>
      <c r="G189">
        <v>7000</v>
      </c>
      <c r="H189">
        <f xml:space="preserve"> Table1[[#This Row],[Gross_Revenue]]-Table1[[#This Row],[Refunds]]</f>
        <v>6080</v>
      </c>
      <c r="I189" s="2">
        <f xml:space="preserve"> Table1[[#This Row],[Net Revenue]]/Table1[[#This Row],[Marketing_Spend]]</f>
        <v>3.9225806451612901</v>
      </c>
      <c r="J189" s="2">
        <f>Table1[[#This Row],[Marketing_Spend]]/Table1[[#This Row],[Web_Traffic]]</f>
        <v>0.22142857142857142</v>
      </c>
    </row>
    <row r="190" spans="1:10" x14ac:dyDescent="0.3">
      <c r="A190" s="1">
        <v>45752</v>
      </c>
      <c r="B190" t="s">
        <v>7</v>
      </c>
      <c r="C190" t="s">
        <v>8</v>
      </c>
      <c r="D190">
        <v>7500</v>
      </c>
      <c r="E190">
        <v>375</v>
      </c>
      <c r="F190">
        <v>1800</v>
      </c>
      <c r="G190">
        <v>8000</v>
      </c>
      <c r="H190">
        <f xml:space="preserve"> Table1[[#This Row],[Gross_Revenue]]-Table1[[#This Row],[Refunds]]</f>
        <v>7125</v>
      </c>
      <c r="I190" s="2">
        <f xml:space="preserve"> Table1[[#This Row],[Net Revenue]]/Table1[[#This Row],[Marketing_Spend]]</f>
        <v>3.9583333333333335</v>
      </c>
      <c r="J190" s="2">
        <f>Table1[[#This Row],[Marketing_Spend]]/Table1[[#This Row],[Web_Traffic]]</f>
        <v>0.22500000000000001</v>
      </c>
    </row>
    <row r="191" spans="1:10" x14ac:dyDescent="0.3">
      <c r="A191" s="1">
        <v>45752</v>
      </c>
      <c r="B191" t="s">
        <v>9</v>
      </c>
      <c r="C191" t="s">
        <v>10</v>
      </c>
      <c r="D191">
        <v>7100</v>
      </c>
      <c r="E191">
        <v>355</v>
      </c>
      <c r="F191">
        <v>2100</v>
      </c>
      <c r="G191">
        <v>9100</v>
      </c>
      <c r="H191">
        <f xml:space="preserve"> Table1[[#This Row],[Gross_Revenue]]-Table1[[#This Row],[Refunds]]</f>
        <v>6745</v>
      </c>
      <c r="I191" s="2">
        <f xml:space="preserve"> Table1[[#This Row],[Net Revenue]]/Table1[[#This Row],[Marketing_Spend]]</f>
        <v>3.211904761904762</v>
      </c>
      <c r="J191" s="2">
        <f>Table1[[#This Row],[Marketing_Spend]]/Table1[[#This Row],[Web_Traffic]]</f>
        <v>0.23076923076923078</v>
      </c>
    </row>
    <row r="192" spans="1:10" x14ac:dyDescent="0.3">
      <c r="A192" s="1">
        <v>45753</v>
      </c>
      <c r="B192" t="s">
        <v>7</v>
      </c>
      <c r="C192" t="s">
        <v>8</v>
      </c>
      <c r="D192">
        <v>8000</v>
      </c>
      <c r="E192">
        <v>400</v>
      </c>
      <c r="F192">
        <v>2200</v>
      </c>
      <c r="G192">
        <v>10000</v>
      </c>
      <c r="H192">
        <f xml:space="preserve"> Table1[[#This Row],[Gross_Revenue]]-Table1[[#This Row],[Refunds]]</f>
        <v>7600</v>
      </c>
      <c r="I192" s="2">
        <f xml:space="preserve"> Table1[[#This Row],[Net Revenue]]/Table1[[#This Row],[Marketing_Spend]]</f>
        <v>3.4545454545454546</v>
      </c>
      <c r="J192" s="2">
        <f>Table1[[#This Row],[Marketing_Spend]]/Table1[[#This Row],[Web_Traffic]]</f>
        <v>0.22</v>
      </c>
    </row>
    <row r="193" spans="1:10" x14ac:dyDescent="0.3">
      <c r="A193" s="1">
        <v>45753</v>
      </c>
      <c r="B193" t="s">
        <v>9</v>
      </c>
      <c r="C193" t="s">
        <v>10</v>
      </c>
      <c r="D193">
        <v>7600</v>
      </c>
      <c r="E193">
        <v>380</v>
      </c>
      <c r="F193">
        <v>2500</v>
      </c>
      <c r="G193">
        <v>11000</v>
      </c>
      <c r="H193">
        <f xml:space="preserve"> Table1[[#This Row],[Gross_Revenue]]-Table1[[#This Row],[Refunds]]</f>
        <v>7220</v>
      </c>
      <c r="I193" s="2">
        <f xml:space="preserve"> Table1[[#This Row],[Net Revenue]]/Table1[[#This Row],[Marketing_Spend]]</f>
        <v>2.8879999999999999</v>
      </c>
      <c r="J193" s="2">
        <f>Table1[[#This Row],[Marketing_Spend]]/Table1[[#This Row],[Web_Traffic]]</f>
        <v>0.22727272727272727</v>
      </c>
    </row>
    <row r="194" spans="1:10" x14ac:dyDescent="0.3">
      <c r="A194" s="1">
        <v>45754</v>
      </c>
      <c r="B194" t="s">
        <v>7</v>
      </c>
      <c r="C194" t="s">
        <v>8</v>
      </c>
      <c r="D194">
        <v>8500</v>
      </c>
      <c r="E194">
        <v>425</v>
      </c>
      <c r="F194">
        <v>2500</v>
      </c>
      <c r="G194">
        <v>12000</v>
      </c>
      <c r="H194">
        <f xml:space="preserve"> Table1[[#This Row],[Gross_Revenue]]-Table1[[#This Row],[Refunds]]</f>
        <v>8075</v>
      </c>
      <c r="I194" s="2">
        <f xml:space="preserve"> Table1[[#This Row],[Net Revenue]]/Table1[[#This Row],[Marketing_Spend]]</f>
        <v>3.23</v>
      </c>
      <c r="J194" s="2">
        <f>Table1[[#This Row],[Marketing_Spend]]/Table1[[#This Row],[Web_Traffic]]</f>
        <v>0.20833333333333334</v>
      </c>
    </row>
    <row r="195" spans="1:10" x14ac:dyDescent="0.3">
      <c r="A195" s="1">
        <v>45754</v>
      </c>
      <c r="B195" t="s">
        <v>9</v>
      </c>
      <c r="C195" t="s">
        <v>10</v>
      </c>
      <c r="D195">
        <v>8100</v>
      </c>
      <c r="E195">
        <v>405</v>
      </c>
      <c r="F195">
        <v>2800</v>
      </c>
      <c r="G195">
        <v>13000</v>
      </c>
      <c r="H195">
        <f xml:space="preserve"> Table1[[#This Row],[Gross_Revenue]]-Table1[[#This Row],[Refunds]]</f>
        <v>7695</v>
      </c>
      <c r="I195" s="2">
        <f xml:space="preserve"> Table1[[#This Row],[Net Revenue]]/Table1[[#This Row],[Marketing_Spend]]</f>
        <v>2.7482142857142855</v>
      </c>
      <c r="J195" s="2">
        <f>Table1[[#This Row],[Marketing_Spend]]/Table1[[#This Row],[Web_Traffic]]</f>
        <v>0.2153846153846154</v>
      </c>
    </row>
    <row r="196" spans="1:10" x14ac:dyDescent="0.3">
      <c r="A196" s="1">
        <v>45755</v>
      </c>
      <c r="B196" t="s">
        <v>7</v>
      </c>
      <c r="C196" t="s">
        <v>8</v>
      </c>
      <c r="D196">
        <v>9200</v>
      </c>
      <c r="E196">
        <v>460</v>
      </c>
      <c r="F196">
        <v>2800</v>
      </c>
      <c r="G196">
        <v>13000</v>
      </c>
      <c r="H196">
        <f xml:space="preserve"> Table1[[#This Row],[Gross_Revenue]]-Table1[[#This Row],[Refunds]]</f>
        <v>8740</v>
      </c>
      <c r="I196" s="2">
        <f xml:space="preserve"> Table1[[#This Row],[Net Revenue]]/Table1[[#This Row],[Marketing_Spend]]</f>
        <v>3.1214285714285714</v>
      </c>
      <c r="J196" s="2">
        <f>Table1[[#This Row],[Marketing_Spend]]/Table1[[#This Row],[Web_Traffic]]</f>
        <v>0.2153846153846154</v>
      </c>
    </row>
    <row r="197" spans="1:10" x14ac:dyDescent="0.3">
      <c r="A197" s="1">
        <v>45755</v>
      </c>
      <c r="B197" t="s">
        <v>9</v>
      </c>
      <c r="C197" t="s">
        <v>10</v>
      </c>
      <c r="D197">
        <v>8800</v>
      </c>
      <c r="E197">
        <v>440</v>
      </c>
      <c r="F197">
        <v>3100</v>
      </c>
      <c r="G197">
        <v>14500</v>
      </c>
      <c r="H197">
        <f xml:space="preserve"> Table1[[#This Row],[Gross_Revenue]]-Table1[[#This Row],[Refunds]]</f>
        <v>8360</v>
      </c>
      <c r="I197" s="2">
        <f xml:space="preserve"> Table1[[#This Row],[Net Revenue]]/Table1[[#This Row],[Marketing_Spend]]</f>
        <v>2.6967741935483871</v>
      </c>
      <c r="J197" s="2">
        <f>Table1[[#This Row],[Marketing_Spend]]/Table1[[#This Row],[Web_Traffic]]</f>
        <v>0.21379310344827587</v>
      </c>
    </row>
    <row r="198" spans="1:10" x14ac:dyDescent="0.3">
      <c r="A198" s="1">
        <v>45756</v>
      </c>
      <c r="B198" t="s">
        <v>7</v>
      </c>
      <c r="C198" t="s">
        <v>8</v>
      </c>
      <c r="D198">
        <v>9500</v>
      </c>
      <c r="E198">
        <v>475</v>
      </c>
      <c r="F198">
        <v>3000</v>
      </c>
      <c r="G198">
        <v>14000</v>
      </c>
      <c r="H198">
        <f xml:space="preserve"> Table1[[#This Row],[Gross_Revenue]]-Table1[[#This Row],[Refunds]]</f>
        <v>9025</v>
      </c>
      <c r="I198" s="2">
        <f xml:space="preserve"> Table1[[#This Row],[Net Revenue]]/Table1[[#This Row],[Marketing_Spend]]</f>
        <v>3.0083333333333333</v>
      </c>
      <c r="J198" s="2">
        <f>Table1[[#This Row],[Marketing_Spend]]/Table1[[#This Row],[Web_Traffic]]</f>
        <v>0.21428571428571427</v>
      </c>
    </row>
    <row r="199" spans="1:10" x14ac:dyDescent="0.3">
      <c r="A199" s="1">
        <v>45756</v>
      </c>
      <c r="B199" t="s">
        <v>9</v>
      </c>
      <c r="C199" t="s">
        <v>10</v>
      </c>
      <c r="D199">
        <v>9100</v>
      </c>
      <c r="E199">
        <v>455</v>
      </c>
      <c r="F199">
        <v>3300</v>
      </c>
      <c r="G199">
        <v>15500</v>
      </c>
      <c r="H199">
        <f xml:space="preserve"> Table1[[#This Row],[Gross_Revenue]]-Table1[[#This Row],[Refunds]]</f>
        <v>8645</v>
      </c>
      <c r="I199" s="2">
        <f xml:space="preserve"> Table1[[#This Row],[Net Revenue]]/Table1[[#This Row],[Marketing_Spend]]</f>
        <v>2.6196969696969696</v>
      </c>
      <c r="J199" s="2">
        <f>Table1[[#This Row],[Marketing_Spend]]/Table1[[#This Row],[Web_Traffic]]</f>
        <v>0.2129032258064516</v>
      </c>
    </row>
    <row r="200" spans="1:10" x14ac:dyDescent="0.3">
      <c r="A200" s="1">
        <v>45757</v>
      </c>
      <c r="B200" t="s">
        <v>7</v>
      </c>
      <c r="C200" t="s">
        <v>8</v>
      </c>
      <c r="D200">
        <v>10500</v>
      </c>
      <c r="E200">
        <v>525</v>
      </c>
      <c r="F200">
        <v>3500</v>
      </c>
      <c r="G200">
        <v>15000</v>
      </c>
      <c r="H200">
        <f xml:space="preserve"> Table1[[#This Row],[Gross_Revenue]]-Table1[[#This Row],[Refunds]]</f>
        <v>9975</v>
      </c>
      <c r="I200" s="2">
        <f xml:space="preserve"> Table1[[#This Row],[Net Revenue]]/Table1[[#This Row],[Marketing_Spend]]</f>
        <v>2.85</v>
      </c>
      <c r="J200" s="2">
        <f>Table1[[#This Row],[Marketing_Spend]]/Table1[[#This Row],[Web_Traffic]]</f>
        <v>0.23333333333333334</v>
      </c>
    </row>
    <row r="201" spans="1:10" x14ac:dyDescent="0.3">
      <c r="A201" s="1">
        <v>45757</v>
      </c>
      <c r="B201" t="s">
        <v>9</v>
      </c>
      <c r="C201" t="s">
        <v>10</v>
      </c>
      <c r="D201">
        <v>9800</v>
      </c>
      <c r="E201">
        <v>490</v>
      </c>
      <c r="F201">
        <v>3800</v>
      </c>
      <c r="G201">
        <v>16500</v>
      </c>
      <c r="H201">
        <f xml:space="preserve"> Table1[[#This Row],[Gross_Revenue]]-Table1[[#This Row],[Refunds]]</f>
        <v>9310</v>
      </c>
      <c r="I201" s="2">
        <f xml:space="preserve"> Table1[[#This Row],[Net Revenue]]/Table1[[#This Row],[Marketing_Spend]]</f>
        <v>2.4500000000000002</v>
      </c>
      <c r="J201" s="2">
        <f>Table1[[#This Row],[Marketing_Spend]]/Table1[[#This Row],[Web_Traffic]]</f>
        <v>0.23030303030303031</v>
      </c>
    </row>
    <row r="202" spans="1:10" x14ac:dyDescent="0.3">
      <c r="A202" s="1">
        <v>45758</v>
      </c>
      <c r="B202" t="s">
        <v>7</v>
      </c>
      <c r="C202" t="s">
        <v>8</v>
      </c>
      <c r="D202">
        <v>11000</v>
      </c>
      <c r="E202">
        <v>550</v>
      </c>
      <c r="F202">
        <v>3600</v>
      </c>
      <c r="G202">
        <v>15500</v>
      </c>
      <c r="H202">
        <f xml:space="preserve"> Table1[[#This Row],[Gross_Revenue]]-Table1[[#This Row],[Refunds]]</f>
        <v>10450</v>
      </c>
      <c r="I202" s="2">
        <f xml:space="preserve"> Table1[[#This Row],[Net Revenue]]/Table1[[#This Row],[Marketing_Spend]]</f>
        <v>2.9027777777777777</v>
      </c>
      <c r="J202" s="2">
        <f>Table1[[#This Row],[Marketing_Spend]]/Table1[[#This Row],[Web_Traffic]]</f>
        <v>0.23225806451612904</v>
      </c>
    </row>
    <row r="203" spans="1:10" x14ac:dyDescent="0.3">
      <c r="A203" s="1">
        <v>45758</v>
      </c>
      <c r="B203" t="s">
        <v>9</v>
      </c>
      <c r="C203" t="s">
        <v>10</v>
      </c>
      <c r="D203">
        <v>10200</v>
      </c>
      <c r="E203">
        <v>510</v>
      </c>
      <c r="F203">
        <v>4000</v>
      </c>
      <c r="G203">
        <v>17000</v>
      </c>
      <c r="H203">
        <f xml:space="preserve"> Table1[[#This Row],[Gross_Revenue]]-Table1[[#This Row],[Refunds]]</f>
        <v>9690</v>
      </c>
      <c r="I203" s="2">
        <f xml:space="preserve"> Table1[[#This Row],[Net Revenue]]/Table1[[#This Row],[Marketing_Spend]]</f>
        <v>2.4224999999999999</v>
      </c>
      <c r="J203" s="2">
        <f>Table1[[#This Row],[Marketing_Spend]]/Table1[[#This Row],[Web_Traffic]]</f>
        <v>0.23529411764705882</v>
      </c>
    </row>
    <row r="204" spans="1:10" x14ac:dyDescent="0.3">
      <c r="A204" s="1">
        <v>45759</v>
      </c>
      <c r="B204" t="s">
        <v>7</v>
      </c>
      <c r="C204" t="s">
        <v>8</v>
      </c>
      <c r="D204">
        <v>11500</v>
      </c>
      <c r="E204">
        <v>575</v>
      </c>
      <c r="F204">
        <v>3800</v>
      </c>
      <c r="G204">
        <v>16000</v>
      </c>
      <c r="H204">
        <f xml:space="preserve"> Table1[[#This Row],[Gross_Revenue]]-Table1[[#This Row],[Refunds]]</f>
        <v>10925</v>
      </c>
      <c r="I204" s="2">
        <f xml:space="preserve"> Table1[[#This Row],[Net Revenue]]/Table1[[#This Row],[Marketing_Spend]]</f>
        <v>2.875</v>
      </c>
      <c r="J204" s="2">
        <f>Table1[[#This Row],[Marketing_Spend]]/Table1[[#This Row],[Web_Traffic]]</f>
        <v>0.23749999999999999</v>
      </c>
    </row>
    <row r="205" spans="1:10" x14ac:dyDescent="0.3">
      <c r="A205" s="1">
        <v>45759</v>
      </c>
      <c r="B205" t="s">
        <v>9</v>
      </c>
      <c r="C205" t="s">
        <v>10</v>
      </c>
      <c r="D205">
        <v>10500</v>
      </c>
      <c r="E205">
        <v>525</v>
      </c>
      <c r="F205">
        <v>4200</v>
      </c>
      <c r="G205">
        <v>17500</v>
      </c>
      <c r="H205">
        <f xml:space="preserve"> Table1[[#This Row],[Gross_Revenue]]-Table1[[#This Row],[Refunds]]</f>
        <v>9975</v>
      </c>
      <c r="I205" s="2">
        <f xml:space="preserve"> Table1[[#This Row],[Net Revenue]]/Table1[[#This Row],[Marketing_Spend]]</f>
        <v>2.375</v>
      </c>
      <c r="J205" s="2">
        <f>Table1[[#This Row],[Marketing_Spend]]/Table1[[#This Row],[Web_Traffic]]</f>
        <v>0.24</v>
      </c>
    </row>
    <row r="206" spans="1:10" x14ac:dyDescent="0.3">
      <c r="A206" s="1">
        <v>45760</v>
      </c>
      <c r="B206" t="s">
        <v>7</v>
      </c>
      <c r="C206" t="s">
        <v>8</v>
      </c>
      <c r="D206">
        <v>9000</v>
      </c>
      <c r="E206">
        <v>450</v>
      </c>
      <c r="F206">
        <v>3000</v>
      </c>
      <c r="G206">
        <v>14000</v>
      </c>
      <c r="H206">
        <f xml:space="preserve"> Table1[[#This Row],[Gross_Revenue]]-Table1[[#This Row],[Refunds]]</f>
        <v>8550</v>
      </c>
      <c r="I206" s="2">
        <f xml:space="preserve"> Table1[[#This Row],[Net Revenue]]/Table1[[#This Row],[Marketing_Spend]]</f>
        <v>2.85</v>
      </c>
      <c r="J206" s="2">
        <f>Table1[[#This Row],[Marketing_Spend]]/Table1[[#This Row],[Web_Traffic]]</f>
        <v>0.21428571428571427</v>
      </c>
    </row>
    <row r="207" spans="1:10" x14ac:dyDescent="0.3">
      <c r="A207" s="1">
        <v>45760</v>
      </c>
      <c r="B207" t="s">
        <v>9</v>
      </c>
      <c r="C207" t="s">
        <v>10</v>
      </c>
      <c r="D207">
        <v>8500</v>
      </c>
      <c r="E207">
        <v>425</v>
      </c>
      <c r="F207">
        <v>3500</v>
      </c>
      <c r="G207">
        <v>15000</v>
      </c>
      <c r="H207">
        <f xml:space="preserve"> Table1[[#This Row],[Gross_Revenue]]-Table1[[#This Row],[Refunds]]</f>
        <v>8075</v>
      </c>
      <c r="I207" s="2">
        <f xml:space="preserve"> Table1[[#This Row],[Net Revenue]]/Table1[[#This Row],[Marketing_Spend]]</f>
        <v>2.3071428571428569</v>
      </c>
      <c r="J207" s="2">
        <f>Table1[[#This Row],[Marketing_Spend]]/Table1[[#This Row],[Web_Traffic]]</f>
        <v>0.23333333333333334</v>
      </c>
    </row>
    <row r="208" spans="1:10" x14ac:dyDescent="0.3">
      <c r="A208" s="1">
        <v>45761</v>
      </c>
      <c r="B208" t="s">
        <v>7</v>
      </c>
      <c r="C208" t="s">
        <v>8</v>
      </c>
      <c r="D208">
        <v>8000</v>
      </c>
      <c r="E208">
        <v>400</v>
      </c>
      <c r="F208">
        <v>2500</v>
      </c>
      <c r="G208">
        <v>12000</v>
      </c>
      <c r="H208">
        <f xml:space="preserve"> Table1[[#This Row],[Gross_Revenue]]-Table1[[#This Row],[Refunds]]</f>
        <v>7600</v>
      </c>
      <c r="I208" s="2">
        <f xml:space="preserve"> Table1[[#This Row],[Net Revenue]]/Table1[[#This Row],[Marketing_Spend]]</f>
        <v>3.04</v>
      </c>
      <c r="J208" s="2">
        <f>Table1[[#This Row],[Marketing_Spend]]/Table1[[#This Row],[Web_Traffic]]</f>
        <v>0.20833333333333334</v>
      </c>
    </row>
    <row r="209" spans="1:10" x14ac:dyDescent="0.3">
      <c r="A209" s="1">
        <v>45761</v>
      </c>
      <c r="B209" t="s">
        <v>9</v>
      </c>
      <c r="C209" t="s">
        <v>10</v>
      </c>
      <c r="D209">
        <v>7500</v>
      </c>
      <c r="E209">
        <v>375</v>
      </c>
      <c r="F209">
        <v>3000</v>
      </c>
      <c r="G209">
        <v>13000</v>
      </c>
      <c r="H209">
        <f xml:space="preserve"> Table1[[#This Row],[Gross_Revenue]]-Table1[[#This Row],[Refunds]]</f>
        <v>7125</v>
      </c>
      <c r="I209" s="2">
        <f xml:space="preserve"> Table1[[#This Row],[Net Revenue]]/Table1[[#This Row],[Marketing_Spend]]</f>
        <v>2.375</v>
      </c>
      <c r="J209" s="2">
        <f>Table1[[#This Row],[Marketing_Spend]]/Table1[[#This Row],[Web_Traffic]]</f>
        <v>0.23076923076923078</v>
      </c>
    </row>
    <row r="210" spans="1:10" x14ac:dyDescent="0.3">
      <c r="A210" s="1">
        <v>45762</v>
      </c>
      <c r="B210" t="s">
        <v>7</v>
      </c>
      <c r="C210" t="s">
        <v>8</v>
      </c>
      <c r="D210">
        <v>7000</v>
      </c>
      <c r="E210">
        <v>350</v>
      </c>
      <c r="F210">
        <v>2000</v>
      </c>
      <c r="G210">
        <v>10000</v>
      </c>
      <c r="H210">
        <f xml:space="preserve"> Table1[[#This Row],[Gross_Revenue]]-Table1[[#This Row],[Refunds]]</f>
        <v>6650</v>
      </c>
      <c r="I210" s="2">
        <f xml:space="preserve"> Table1[[#This Row],[Net Revenue]]/Table1[[#This Row],[Marketing_Spend]]</f>
        <v>3.3250000000000002</v>
      </c>
      <c r="J210" s="2">
        <f>Table1[[#This Row],[Marketing_Spend]]/Table1[[#This Row],[Web_Traffic]]</f>
        <v>0.2</v>
      </c>
    </row>
    <row r="211" spans="1:10" x14ac:dyDescent="0.3">
      <c r="A211" s="1">
        <v>45762</v>
      </c>
      <c r="B211" t="s">
        <v>9</v>
      </c>
      <c r="C211" t="s">
        <v>10</v>
      </c>
      <c r="D211">
        <v>6500</v>
      </c>
      <c r="E211">
        <v>325</v>
      </c>
      <c r="F211">
        <v>2500</v>
      </c>
      <c r="G211">
        <v>11000</v>
      </c>
      <c r="H211">
        <f xml:space="preserve"> Table1[[#This Row],[Gross_Revenue]]-Table1[[#This Row],[Refunds]]</f>
        <v>6175</v>
      </c>
      <c r="I211" s="2">
        <f xml:space="preserve"> Table1[[#This Row],[Net Revenue]]/Table1[[#This Row],[Marketing_Spend]]</f>
        <v>2.4700000000000002</v>
      </c>
      <c r="J211" s="2">
        <f>Table1[[#This Row],[Marketing_Spend]]/Table1[[#This Row],[Web_Traffic]]</f>
        <v>0.22727272727272727</v>
      </c>
    </row>
    <row r="212" spans="1:10" x14ac:dyDescent="0.3">
      <c r="A212" s="1">
        <v>45763</v>
      </c>
      <c r="B212" t="s">
        <v>7</v>
      </c>
      <c r="C212" t="s">
        <v>8</v>
      </c>
      <c r="D212">
        <v>6500</v>
      </c>
      <c r="E212">
        <v>325</v>
      </c>
      <c r="F212">
        <v>1500</v>
      </c>
      <c r="G212">
        <v>8000</v>
      </c>
      <c r="H212">
        <f xml:space="preserve"> Table1[[#This Row],[Gross_Revenue]]-Table1[[#This Row],[Refunds]]</f>
        <v>6175</v>
      </c>
      <c r="I212" s="2">
        <f xml:space="preserve"> Table1[[#This Row],[Net Revenue]]/Table1[[#This Row],[Marketing_Spend]]</f>
        <v>4.1166666666666663</v>
      </c>
      <c r="J212" s="2">
        <f>Table1[[#This Row],[Marketing_Spend]]/Table1[[#This Row],[Web_Traffic]]</f>
        <v>0.1875</v>
      </c>
    </row>
    <row r="213" spans="1:10" x14ac:dyDescent="0.3">
      <c r="A213" s="1">
        <v>45763</v>
      </c>
      <c r="B213" t="s">
        <v>9</v>
      </c>
      <c r="C213" t="s">
        <v>10</v>
      </c>
      <c r="D213">
        <v>6100</v>
      </c>
      <c r="E213">
        <v>305</v>
      </c>
      <c r="F213">
        <v>2000</v>
      </c>
      <c r="G213">
        <v>9000</v>
      </c>
      <c r="H213">
        <f xml:space="preserve"> Table1[[#This Row],[Gross_Revenue]]-Table1[[#This Row],[Refunds]]</f>
        <v>5795</v>
      </c>
      <c r="I213" s="2">
        <f xml:space="preserve"> Table1[[#This Row],[Net Revenue]]/Table1[[#This Row],[Marketing_Spend]]</f>
        <v>2.8975</v>
      </c>
      <c r="J213" s="2">
        <f>Table1[[#This Row],[Marketing_Spend]]/Table1[[#This Row],[Web_Traffic]]</f>
        <v>0.22222222222222221</v>
      </c>
    </row>
    <row r="214" spans="1:10" x14ac:dyDescent="0.3">
      <c r="A214" s="1">
        <v>45764</v>
      </c>
      <c r="B214" t="s">
        <v>7</v>
      </c>
      <c r="C214" t="s">
        <v>8</v>
      </c>
      <c r="D214">
        <v>6000</v>
      </c>
      <c r="E214">
        <v>300</v>
      </c>
      <c r="F214">
        <v>1200</v>
      </c>
      <c r="G214">
        <v>6000</v>
      </c>
      <c r="H214">
        <f xml:space="preserve"> Table1[[#This Row],[Gross_Revenue]]-Table1[[#This Row],[Refunds]]</f>
        <v>5700</v>
      </c>
      <c r="I214" s="2">
        <f xml:space="preserve"> Table1[[#This Row],[Net Revenue]]/Table1[[#This Row],[Marketing_Spend]]</f>
        <v>4.75</v>
      </c>
      <c r="J214" s="2">
        <f>Table1[[#This Row],[Marketing_Spend]]/Table1[[#This Row],[Web_Traffic]]</f>
        <v>0.2</v>
      </c>
    </row>
    <row r="215" spans="1:10" x14ac:dyDescent="0.3">
      <c r="A215" s="1">
        <v>45764</v>
      </c>
      <c r="B215" t="s">
        <v>9</v>
      </c>
      <c r="C215" t="s">
        <v>10</v>
      </c>
      <c r="D215">
        <v>5600</v>
      </c>
      <c r="E215">
        <v>280</v>
      </c>
      <c r="F215">
        <v>1500</v>
      </c>
      <c r="G215">
        <v>7000</v>
      </c>
      <c r="H215">
        <f xml:space="preserve"> Table1[[#This Row],[Gross_Revenue]]-Table1[[#This Row],[Refunds]]</f>
        <v>5320</v>
      </c>
      <c r="I215" s="2">
        <f xml:space="preserve"> Table1[[#This Row],[Net Revenue]]/Table1[[#This Row],[Marketing_Spend]]</f>
        <v>3.5466666666666669</v>
      </c>
      <c r="J215" s="2">
        <f>Table1[[#This Row],[Marketing_Spend]]/Table1[[#This Row],[Web_Traffic]]</f>
        <v>0.21428571428571427</v>
      </c>
    </row>
    <row r="216" spans="1:10" x14ac:dyDescent="0.3">
      <c r="A216" s="1">
        <v>45765</v>
      </c>
      <c r="B216" t="s">
        <v>7</v>
      </c>
      <c r="C216" t="s">
        <v>8</v>
      </c>
      <c r="D216">
        <v>5800</v>
      </c>
      <c r="E216">
        <v>290</v>
      </c>
      <c r="F216">
        <v>1100</v>
      </c>
      <c r="G216">
        <v>5800</v>
      </c>
      <c r="H216">
        <f xml:space="preserve"> Table1[[#This Row],[Gross_Revenue]]-Table1[[#This Row],[Refunds]]</f>
        <v>5510</v>
      </c>
      <c r="I216" s="2">
        <f xml:space="preserve"> Table1[[#This Row],[Net Revenue]]/Table1[[#This Row],[Marketing_Spend]]</f>
        <v>5.0090909090909088</v>
      </c>
      <c r="J216" s="2">
        <f>Table1[[#This Row],[Marketing_Spend]]/Table1[[#This Row],[Web_Traffic]]</f>
        <v>0.18965517241379309</v>
      </c>
    </row>
    <row r="217" spans="1:10" x14ac:dyDescent="0.3">
      <c r="A217" s="1">
        <v>45765</v>
      </c>
      <c r="B217" t="s">
        <v>9</v>
      </c>
      <c r="C217" t="s">
        <v>10</v>
      </c>
      <c r="D217">
        <v>5400</v>
      </c>
      <c r="E217">
        <v>270</v>
      </c>
      <c r="F217">
        <v>1400</v>
      </c>
      <c r="G217">
        <v>6800</v>
      </c>
      <c r="H217">
        <f xml:space="preserve"> Table1[[#This Row],[Gross_Revenue]]-Table1[[#This Row],[Refunds]]</f>
        <v>5130</v>
      </c>
      <c r="I217" s="2">
        <f xml:space="preserve"> Table1[[#This Row],[Net Revenue]]/Table1[[#This Row],[Marketing_Spend]]</f>
        <v>3.6642857142857141</v>
      </c>
      <c r="J217" s="2">
        <f>Table1[[#This Row],[Marketing_Spend]]/Table1[[#This Row],[Web_Traffic]]</f>
        <v>0.20588235294117646</v>
      </c>
    </row>
    <row r="218" spans="1:10" x14ac:dyDescent="0.3">
      <c r="A218" s="1">
        <v>45766</v>
      </c>
      <c r="B218" t="s">
        <v>7</v>
      </c>
      <c r="C218" t="s">
        <v>8</v>
      </c>
      <c r="D218">
        <v>5700</v>
      </c>
      <c r="E218">
        <v>285</v>
      </c>
      <c r="F218">
        <v>1050</v>
      </c>
      <c r="G218">
        <v>5700</v>
      </c>
      <c r="H218">
        <f xml:space="preserve"> Table1[[#This Row],[Gross_Revenue]]-Table1[[#This Row],[Refunds]]</f>
        <v>5415</v>
      </c>
      <c r="I218" s="2">
        <f xml:space="preserve"> Table1[[#This Row],[Net Revenue]]/Table1[[#This Row],[Marketing_Spend]]</f>
        <v>5.1571428571428575</v>
      </c>
      <c r="J218" s="2">
        <f>Table1[[#This Row],[Marketing_Spend]]/Table1[[#This Row],[Web_Traffic]]</f>
        <v>0.18421052631578946</v>
      </c>
    </row>
    <row r="219" spans="1:10" x14ac:dyDescent="0.3">
      <c r="A219" s="1">
        <v>45766</v>
      </c>
      <c r="B219" t="s">
        <v>9</v>
      </c>
      <c r="C219" t="s">
        <v>10</v>
      </c>
      <c r="D219">
        <v>5300</v>
      </c>
      <c r="E219">
        <v>265</v>
      </c>
      <c r="F219">
        <v>1350</v>
      </c>
      <c r="G219">
        <v>6700</v>
      </c>
      <c r="H219">
        <f xml:space="preserve"> Table1[[#This Row],[Gross_Revenue]]-Table1[[#This Row],[Refunds]]</f>
        <v>5035</v>
      </c>
      <c r="I219" s="2">
        <f xml:space="preserve"> Table1[[#This Row],[Net Revenue]]/Table1[[#This Row],[Marketing_Spend]]</f>
        <v>3.7296296296296299</v>
      </c>
      <c r="J219" s="2">
        <f>Table1[[#This Row],[Marketing_Spend]]/Table1[[#This Row],[Web_Traffic]]</f>
        <v>0.20149253731343283</v>
      </c>
    </row>
    <row r="220" spans="1:10" x14ac:dyDescent="0.3">
      <c r="A220" s="1">
        <v>45767</v>
      </c>
      <c r="B220" t="s">
        <v>7</v>
      </c>
      <c r="C220" t="s">
        <v>8</v>
      </c>
      <c r="D220">
        <v>5600</v>
      </c>
      <c r="E220">
        <v>280</v>
      </c>
      <c r="F220">
        <v>1000</v>
      </c>
      <c r="G220">
        <v>5600</v>
      </c>
      <c r="H220">
        <f xml:space="preserve"> Table1[[#This Row],[Gross_Revenue]]-Table1[[#This Row],[Refunds]]</f>
        <v>5320</v>
      </c>
      <c r="I220" s="2">
        <f xml:space="preserve"> Table1[[#This Row],[Net Revenue]]/Table1[[#This Row],[Marketing_Spend]]</f>
        <v>5.32</v>
      </c>
      <c r="J220" s="2">
        <f>Table1[[#This Row],[Marketing_Spend]]/Table1[[#This Row],[Web_Traffic]]</f>
        <v>0.17857142857142858</v>
      </c>
    </row>
    <row r="221" spans="1:10" x14ac:dyDescent="0.3">
      <c r="A221" s="1">
        <v>45767</v>
      </c>
      <c r="B221" t="s">
        <v>9</v>
      </c>
      <c r="C221" t="s">
        <v>10</v>
      </c>
      <c r="D221">
        <v>5200</v>
      </c>
      <c r="E221">
        <v>260</v>
      </c>
      <c r="F221">
        <v>1300</v>
      </c>
      <c r="G221">
        <v>6600</v>
      </c>
      <c r="H221">
        <f xml:space="preserve"> Table1[[#This Row],[Gross_Revenue]]-Table1[[#This Row],[Refunds]]</f>
        <v>4940</v>
      </c>
      <c r="I221" s="2">
        <f xml:space="preserve"> Table1[[#This Row],[Net Revenue]]/Table1[[#This Row],[Marketing_Spend]]</f>
        <v>3.8</v>
      </c>
      <c r="J221" s="2">
        <f>Table1[[#This Row],[Marketing_Spend]]/Table1[[#This Row],[Web_Traffic]]</f>
        <v>0.19696969696969696</v>
      </c>
    </row>
    <row r="222" spans="1:10" x14ac:dyDescent="0.3">
      <c r="A222" s="1">
        <v>45768</v>
      </c>
      <c r="B222" t="s">
        <v>7</v>
      </c>
      <c r="C222" t="s">
        <v>8</v>
      </c>
      <c r="D222">
        <v>5500</v>
      </c>
      <c r="E222">
        <v>275</v>
      </c>
      <c r="F222">
        <v>980</v>
      </c>
      <c r="G222">
        <v>5500</v>
      </c>
      <c r="H222">
        <f xml:space="preserve"> Table1[[#This Row],[Gross_Revenue]]-Table1[[#This Row],[Refunds]]</f>
        <v>5225</v>
      </c>
      <c r="I222" s="2">
        <f xml:space="preserve"> Table1[[#This Row],[Net Revenue]]/Table1[[#This Row],[Marketing_Spend]]</f>
        <v>5.3316326530612246</v>
      </c>
      <c r="J222" s="2">
        <f>Table1[[#This Row],[Marketing_Spend]]/Table1[[#This Row],[Web_Traffic]]</f>
        <v>0.17818181818181819</v>
      </c>
    </row>
    <row r="223" spans="1:10" x14ac:dyDescent="0.3">
      <c r="A223" s="1">
        <v>45768</v>
      </c>
      <c r="B223" t="s">
        <v>9</v>
      </c>
      <c r="C223" t="s">
        <v>10</v>
      </c>
      <c r="D223">
        <v>5100</v>
      </c>
      <c r="E223">
        <v>255</v>
      </c>
      <c r="F223">
        <v>1280</v>
      </c>
      <c r="G223">
        <v>6500</v>
      </c>
      <c r="H223">
        <f xml:space="preserve"> Table1[[#This Row],[Gross_Revenue]]-Table1[[#This Row],[Refunds]]</f>
        <v>4845</v>
      </c>
      <c r="I223" s="2">
        <f xml:space="preserve"> Table1[[#This Row],[Net Revenue]]/Table1[[#This Row],[Marketing_Spend]]</f>
        <v>3.78515625</v>
      </c>
      <c r="J223" s="2">
        <f>Table1[[#This Row],[Marketing_Spend]]/Table1[[#This Row],[Web_Traffic]]</f>
        <v>0.19692307692307692</v>
      </c>
    </row>
    <row r="224" spans="1:10" x14ac:dyDescent="0.3">
      <c r="A224" s="1">
        <v>45769</v>
      </c>
      <c r="B224" t="s">
        <v>7</v>
      </c>
      <c r="C224" t="s">
        <v>8</v>
      </c>
      <c r="D224">
        <v>5400</v>
      </c>
      <c r="E224">
        <v>270</v>
      </c>
      <c r="F224">
        <v>960</v>
      </c>
      <c r="G224">
        <v>5400</v>
      </c>
      <c r="H224">
        <f xml:space="preserve"> Table1[[#This Row],[Gross_Revenue]]-Table1[[#This Row],[Refunds]]</f>
        <v>5130</v>
      </c>
      <c r="I224" s="2">
        <f xml:space="preserve"> Table1[[#This Row],[Net Revenue]]/Table1[[#This Row],[Marketing_Spend]]</f>
        <v>5.34375</v>
      </c>
      <c r="J224" s="2">
        <f>Table1[[#This Row],[Marketing_Spend]]/Table1[[#This Row],[Web_Traffic]]</f>
        <v>0.17777777777777778</v>
      </c>
    </row>
    <row r="225" spans="1:10" x14ac:dyDescent="0.3">
      <c r="A225" s="1">
        <v>45769</v>
      </c>
      <c r="B225" t="s">
        <v>9</v>
      </c>
      <c r="C225" t="s">
        <v>10</v>
      </c>
      <c r="D225">
        <v>5000</v>
      </c>
      <c r="E225">
        <v>250</v>
      </c>
      <c r="F225">
        <v>1260</v>
      </c>
      <c r="G225">
        <v>6400</v>
      </c>
      <c r="H225">
        <f xml:space="preserve"> Table1[[#This Row],[Gross_Revenue]]-Table1[[#This Row],[Refunds]]</f>
        <v>4750</v>
      </c>
      <c r="I225" s="2">
        <f xml:space="preserve"> Table1[[#This Row],[Net Revenue]]/Table1[[#This Row],[Marketing_Spend]]</f>
        <v>3.7698412698412698</v>
      </c>
      <c r="J225" s="2">
        <f>Table1[[#This Row],[Marketing_Spend]]/Table1[[#This Row],[Web_Traffic]]</f>
        <v>0.19687499999999999</v>
      </c>
    </row>
    <row r="226" spans="1:10" x14ac:dyDescent="0.3">
      <c r="A226" s="1">
        <v>45770</v>
      </c>
      <c r="B226" t="s">
        <v>7</v>
      </c>
      <c r="C226" t="s">
        <v>8</v>
      </c>
      <c r="D226">
        <v>5300</v>
      </c>
      <c r="E226">
        <v>265</v>
      </c>
      <c r="F226">
        <v>940</v>
      </c>
      <c r="G226">
        <v>5300</v>
      </c>
      <c r="H226">
        <f xml:space="preserve"> Table1[[#This Row],[Gross_Revenue]]-Table1[[#This Row],[Refunds]]</f>
        <v>5035</v>
      </c>
      <c r="I226" s="2">
        <f xml:space="preserve"> Table1[[#This Row],[Net Revenue]]/Table1[[#This Row],[Marketing_Spend]]</f>
        <v>5.3563829787234045</v>
      </c>
      <c r="J226" s="2">
        <f>Table1[[#This Row],[Marketing_Spend]]/Table1[[#This Row],[Web_Traffic]]</f>
        <v>0.17735849056603772</v>
      </c>
    </row>
    <row r="227" spans="1:10" x14ac:dyDescent="0.3">
      <c r="A227" s="1">
        <v>45770</v>
      </c>
      <c r="B227" t="s">
        <v>9</v>
      </c>
      <c r="C227" t="s">
        <v>10</v>
      </c>
      <c r="D227">
        <v>4900</v>
      </c>
      <c r="E227">
        <v>245</v>
      </c>
      <c r="F227">
        <v>1240</v>
      </c>
      <c r="G227">
        <v>6300</v>
      </c>
      <c r="H227">
        <f xml:space="preserve"> Table1[[#This Row],[Gross_Revenue]]-Table1[[#This Row],[Refunds]]</f>
        <v>4655</v>
      </c>
      <c r="I227" s="2">
        <f xml:space="preserve"> Table1[[#This Row],[Net Revenue]]/Table1[[#This Row],[Marketing_Spend]]</f>
        <v>3.754032258064516</v>
      </c>
      <c r="J227" s="2">
        <f>Table1[[#This Row],[Marketing_Spend]]/Table1[[#This Row],[Web_Traffic]]</f>
        <v>0.19682539682539682</v>
      </c>
    </row>
    <row r="228" spans="1:10" x14ac:dyDescent="0.3">
      <c r="A228" s="1">
        <v>45771</v>
      </c>
      <c r="B228" t="s">
        <v>7</v>
      </c>
      <c r="C228" t="s">
        <v>8</v>
      </c>
      <c r="D228">
        <v>5200</v>
      </c>
      <c r="E228">
        <v>260</v>
      </c>
      <c r="F228">
        <v>920</v>
      </c>
      <c r="G228">
        <v>5200</v>
      </c>
      <c r="H228">
        <f xml:space="preserve"> Table1[[#This Row],[Gross_Revenue]]-Table1[[#This Row],[Refunds]]</f>
        <v>4940</v>
      </c>
      <c r="I228" s="2">
        <f xml:space="preserve"> Table1[[#This Row],[Net Revenue]]/Table1[[#This Row],[Marketing_Spend]]</f>
        <v>5.3695652173913047</v>
      </c>
      <c r="J228" s="2">
        <f>Table1[[#This Row],[Marketing_Spend]]/Table1[[#This Row],[Web_Traffic]]</f>
        <v>0.17692307692307693</v>
      </c>
    </row>
    <row r="229" spans="1:10" x14ac:dyDescent="0.3">
      <c r="A229" s="1">
        <v>45771</v>
      </c>
      <c r="B229" t="s">
        <v>9</v>
      </c>
      <c r="C229" t="s">
        <v>10</v>
      </c>
      <c r="D229">
        <v>4800</v>
      </c>
      <c r="E229">
        <v>240</v>
      </c>
      <c r="F229">
        <v>1220</v>
      </c>
      <c r="G229">
        <v>6200</v>
      </c>
      <c r="H229">
        <f xml:space="preserve"> Table1[[#This Row],[Gross_Revenue]]-Table1[[#This Row],[Refunds]]</f>
        <v>4560</v>
      </c>
      <c r="I229" s="2">
        <f xml:space="preserve"> Table1[[#This Row],[Net Revenue]]/Table1[[#This Row],[Marketing_Spend]]</f>
        <v>3.737704918032787</v>
      </c>
      <c r="J229" s="2">
        <f>Table1[[#This Row],[Marketing_Spend]]/Table1[[#This Row],[Web_Traffic]]</f>
        <v>0.1967741935483871</v>
      </c>
    </row>
    <row r="230" spans="1:10" x14ac:dyDescent="0.3">
      <c r="A230" s="1">
        <v>45772</v>
      </c>
      <c r="B230" t="s">
        <v>7</v>
      </c>
      <c r="C230" t="s">
        <v>8</v>
      </c>
      <c r="D230">
        <v>5100</v>
      </c>
      <c r="E230">
        <v>255</v>
      </c>
      <c r="F230">
        <v>900</v>
      </c>
      <c r="G230">
        <v>5100</v>
      </c>
      <c r="H230">
        <f xml:space="preserve"> Table1[[#This Row],[Gross_Revenue]]-Table1[[#This Row],[Refunds]]</f>
        <v>4845</v>
      </c>
      <c r="I230" s="2">
        <f xml:space="preserve"> Table1[[#This Row],[Net Revenue]]/Table1[[#This Row],[Marketing_Spend]]</f>
        <v>5.3833333333333337</v>
      </c>
      <c r="J230" s="2">
        <f>Table1[[#This Row],[Marketing_Spend]]/Table1[[#This Row],[Web_Traffic]]</f>
        <v>0.17647058823529413</v>
      </c>
    </row>
    <row r="231" spans="1:10" x14ac:dyDescent="0.3">
      <c r="A231" s="1">
        <v>45772</v>
      </c>
      <c r="B231" t="s">
        <v>9</v>
      </c>
      <c r="C231" t="s">
        <v>10</v>
      </c>
      <c r="D231">
        <v>4700</v>
      </c>
      <c r="E231">
        <v>235</v>
      </c>
      <c r="F231">
        <v>1200</v>
      </c>
      <c r="G231">
        <v>6100</v>
      </c>
      <c r="H231">
        <f xml:space="preserve"> Table1[[#This Row],[Gross_Revenue]]-Table1[[#This Row],[Refunds]]</f>
        <v>4465</v>
      </c>
      <c r="I231" s="2">
        <f xml:space="preserve"> Table1[[#This Row],[Net Revenue]]/Table1[[#This Row],[Marketing_Spend]]</f>
        <v>3.7208333333333332</v>
      </c>
      <c r="J231" s="2">
        <f>Table1[[#This Row],[Marketing_Spend]]/Table1[[#This Row],[Web_Traffic]]</f>
        <v>0.19672131147540983</v>
      </c>
    </row>
    <row r="232" spans="1:10" x14ac:dyDescent="0.3">
      <c r="A232" s="1">
        <v>45773</v>
      </c>
      <c r="B232" t="s">
        <v>7</v>
      </c>
      <c r="C232" t="s">
        <v>8</v>
      </c>
      <c r="D232">
        <v>5000</v>
      </c>
      <c r="E232">
        <v>250</v>
      </c>
      <c r="F232">
        <v>880</v>
      </c>
      <c r="G232">
        <v>5000</v>
      </c>
      <c r="H232">
        <f xml:space="preserve"> Table1[[#This Row],[Gross_Revenue]]-Table1[[#This Row],[Refunds]]</f>
        <v>4750</v>
      </c>
      <c r="I232" s="2">
        <f xml:space="preserve"> Table1[[#This Row],[Net Revenue]]/Table1[[#This Row],[Marketing_Spend]]</f>
        <v>5.3977272727272725</v>
      </c>
      <c r="J232" s="2">
        <f>Table1[[#This Row],[Marketing_Spend]]/Table1[[#This Row],[Web_Traffic]]</f>
        <v>0.17599999999999999</v>
      </c>
    </row>
    <row r="233" spans="1:10" x14ac:dyDescent="0.3">
      <c r="A233" s="1">
        <v>45773</v>
      </c>
      <c r="B233" t="s">
        <v>9</v>
      </c>
      <c r="C233" t="s">
        <v>10</v>
      </c>
      <c r="D233">
        <v>4600</v>
      </c>
      <c r="E233">
        <v>230</v>
      </c>
      <c r="F233">
        <v>1180</v>
      </c>
      <c r="G233">
        <v>6000</v>
      </c>
      <c r="H233">
        <f xml:space="preserve"> Table1[[#This Row],[Gross_Revenue]]-Table1[[#This Row],[Refunds]]</f>
        <v>4370</v>
      </c>
      <c r="I233" s="2">
        <f xml:space="preserve"> Table1[[#This Row],[Net Revenue]]/Table1[[#This Row],[Marketing_Spend]]</f>
        <v>3.7033898305084745</v>
      </c>
      <c r="J233" s="2">
        <f>Table1[[#This Row],[Marketing_Spend]]/Table1[[#This Row],[Web_Traffic]]</f>
        <v>0.19666666666666666</v>
      </c>
    </row>
    <row r="234" spans="1:10" x14ac:dyDescent="0.3">
      <c r="A234" s="1">
        <v>45774</v>
      </c>
      <c r="B234" t="s">
        <v>7</v>
      </c>
      <c r="C234" t="s">
        <v>8</v>
      </c>
      <c r="D234">
        <v>4900</v>
      </c>
      <c r="E234">
        <v>245</v>
      </c>
      <c r="F234">
        <v>860</v>
      </c>
      <c r="G234">
        <v>4900</v>
      </c>
      <c r="H234">
        <f xml:space="preserve"> Table1[[#This Row],[Gross_Revenue]]-Table1[[#This Row],[Refunds]]</f>
        <v>4655</v>
      </c>
      <c r="I234" s="2">
        <f xml:space="preserve"> Table1[[#This Row],[Net Revenue]]/Table1[[#This Row],[Marketing_Spend]]</f>
        <v>5.4127906976744189</v>
      </c>
      <c r="J234" s="2">
        <f>Table1[[#This Row],[Marketing_Spend]]/Table1[[#This Row],[Web_Traffic]]</f>
        <v>0.17551020408163265</v>
      </c>
    </row>
    <row r="235" spans="1:10" x14ac:dyDescent="0.3">
      <c r="A235" s="1">
        <v>45774</v>
      </c>
      <c r="B235" t="s">
        <v>9</v>
      </c>
      <c r="C235" t="s">
        <v>10</v>
      </c>
      <c r="D235">
        <v>4500</v>
      </c>
      <c r="E235">
        <v>225</v>
      </c>
      <c r="F235">
        <v>1160</v>
      </c>
      <c r="G235">
        <v>5900</v>
      </c>
      <c r="H235">
        <f xml:space="preserve"> Table1[[#This Row],[Gross_Revenue]]-Table1[[#This Row],[Refunds]]</f>
        <v>4275</v>
      </c>
      <c r="I235" s="2">
        <f xml:space="preserve"> Table1[[#This Row],[Net Revenue]]/Table1[[#This Row],[Marketing_Spend]]</f>
        <v>3.6853448275862069</v>
      </c>
      <c r="J235" s="2">
        <f>Table1[[#This Row],[Marketing_Spend]]/Table1[[#This Row],[Web_Traffic]]</f>
        <v>0.19661016949152543</v>
      </c>
    </row>
    <row r="236" spans="1:10" x14ac:dyDescent="0.3">
      <c r="A236" s="1">
        <v>45775</v>
      </c>
      <c r="B236" t="s">
        <v>7</v>
      </c>
      <c r="C236" t="s">
        <v>8</v>
      </c>
      <c r="D236">
        <v>4800</v>
      </c>
      <c r="E236">
        <v>240</v>
      </c>
      <c r="F236">
        <v>840</v>
      </c>
      <c r="G236">
        <v>4800</v>
      </c>
      <c r="H236">
        <f xml:space="preserve"> Table1[[#This Row],[Gross_Revenue]]-Table1[[#This Row],[Refunds]]</f>
        <v>4560</v>
      </c>
      <c r="I236" s="2">
        <f xml:space="preserve"> Table1[[#This Row],[Net Revenue]]/Table1[[#This Row],[Marketing_Spend]]</f>
        <v>5.4285714285714288</v>
      </c>
      <c r="J236" s="2">
        <f>Table1[[#This Row],[Marketing_Spend]]/Table1[[#This Row],[Web_Traffic]]</f>
        <v>0.17499999999999999</v>
      </c>
    </row>
    <row r="237" spans="1:10" x14ac:dyDescent="0.3">
      <c r="A237" s="1">
        <v>45775</v>
      </c>
      <c r="B237" t="s">
        <v>9</v>
      </c>
      <c r="C237" t="s">
        <v>10</v>
      </c>
      <c r="D237">
        <v>4400</v>
      </c>
      <c r="E237">
        <v>220</v>
      </c>
      <c r="F237">
        <v>1140</v>
      </c>
      <c r="G237">
        <v>5800</v>
      </c>
      <c r="H237">
        <f xml:space="preserve"> Table1[[#This Row],[Gross_Revenue]]-Table1[[#This Row],[Refunds]]</f>
        <v>4180</v>
      </c>
      <c r="I237" s="2">
        <f xml:space="preserve"> Table1[[#This Row],[Net Revenue]]/Table1[[#This Row],[Marketing_Spend]]</f>
        <v>3.6666666666666665</v>
      </c>
      <c r="J237" s="2">
        <f>Table1[[#This Row],[Marketing_Spend]]/Table1[[#This Row],[Web_Traffic]]</f>
        <v>0.19655172413793104</v>
      </c>
    </row>
    <row r="238" spans="1:10" x14ac:dyDescent="0.3">
      <c r="A238" s="1">
        <v>45776</v>
      </c>
      <c r="B238" t="s">
        <v>7</v>
      </c>
      <c r="C238" t="s">
        <v>8</v>
      </c>
      <c r="D238">
        <v>4700</v>
      </c>
      <c r="E238">
        <v>235</v>
      </c>
      <c r="F238">
        <v>820</v>
      </c>
      <c r="G238">
        <v>4700</v>
      </c>
      <c r="H238">
        <f xml:space="preserve"> Table1[[#This Row],[Gross_Revenue]]-Table1[[#This Row],[Refunds]]</f>
        <v>4465</v>
      </c>
      <c r="I238" s="2">
        <f xml:space="preserve"> Table1[[#This Row],[Net Revenue]]/Table1[[#This Row],[Marketing_Spend]]</f>
        <v>5.4451219512195124</v>
      </c>
      <c r="J238" s="2">
        <f>Table1[[#This Row],[Marketing_Spend]]/Table1[[#This Row],[Web_Traffic]]</f>
        <v>0.17446808510638298</v>
      </c>
    </row>
    <row r="239" spans="1:10" x14ac:dyDescent="0.3">
      <c r="A239" s="1">
        <v>45776</v>
      </c>
      <c r="B239" t="s">
        <v>9</v>
      </c>
      <c r="C239" t="s">
        <v>10</v>
      </c>
      <c r="D239">
        <v>4300</v>
      </c>
      <c r="E239">
        <v>215</v>
      </c>
      <c r="F239">
        <v>1120</v>
      </c>
      <c r="G239">
        <v>5700</v>
      </c>
      <c r="H239">
        <f xml:space="preserve"> Table1[[#This Row],[Gross_Revenue]]-Table1[[#This Row],[Refunds]]</f>
        <v>4085</v>
      </c>
      <c r="I239" s="2">
        <f xml:space="preserve"> Table1[[#This Row],[Net Revenue]]/Table1[[#This Row],[Marketing_Spend]]</f>
        <v>3.6473214285714284</v>
      </c>
      <c r="J239" s="2">
        <f>Table1[[#This Row],[Marketing_Spend]]/Table1[[#This Row],[Web_Traffic]]</f>
        <v>0.19649122807017544</v>
      </c>
    </row>
    <row r="240" spans="1:10" x14ac:dyDescent="0.3">
      <c r="A240" s="1">
        <v>45777</v>
      </c>
      <c r="B240" t="s">
        <v>7</v>
      </c>
      <c r="C240" t="s">
        <v>8</v>
      </c>
      <c r="D240">
        <v>4600</v>
      </c>
      <c r="E240">
        <v>230</v>
      </c>
      <c r="F240">
        <v>800</v>
      </c>
      <c r="G240">
        <v>4600</v>
      </c>
      <c r="H240">
        <f xml:space="preserve"> Table1[[#This Row],[Gross_Revenue]]-Table1[[#This Row],[Refunds]]</f>
        <v>4370</v>
      </c>
      <c r="I240" s="2">
        <f xml:space="preserve"> Table1[[#This Row],[Net Revenue]]/Table1[[#This Row],[Marketing_Spend]]</f>
        <v>5.4625000000000004</v>
      </c>
      <c r="J240" s="2">
        <f>Table1[[#This Row],[Marketing_Spend]]/Table1[[#This Row],[Web_Traffic]]</f>
        <v>0.17391304347826086</v>
      </c>
    </row>
    <row r="241" spans="1:10" x14ac:dyDescent="0.3">
      <c r="A241" s="1">
        <v>45777</v>
      </c>
      <c r="B241" t="s">
        <v>9</v>
      </c>
      <c r="C241" t="s">
        <v>10</v>
      </c>
      <c r="D241">
        <v>4200</v>
      </c>
      <c r="E241">
        <v>210</v>
      </c>
      <c r="F241">
        <v>1100</v>
      </c>
      <c r="G241">
        <v>5600</v>
      </c>
      <c r="H241">
        <f xml:space="preserve"> Table1[[#This Row],[Gross_Revenue]]-Table1[[#This Row],[Refunds]]</f>
        <v>3990</v>
      </c>
      <c r="I241" s="2">
        <f xml:space="preserve"> Table1[[#This Row],[Net Revenue]]/Table1[[#This Row],[Marketing_Spend]]</f>
        <v>3.6272727272727274</v>
      </c>
      <c r="J241" s="2">
        <f>Table1[[#This Row],[Marketing_Spend]]/Table1[[#This Row],[Web_Traffic]]</f>
        <v>0.19642857142857142</v>
      </c>
    </row>
    <row r="242" spans="1:10" x14ac:dyDescent="0.3">
      <c r="A242" s="1">
        <v>45778</v>
      </c>
      <c r="B242" t="s">
        <v>7</v>
      </c>
      <c r="C242" t="s">
        <v>8</v>
      </c>
      <c r="D242">
        <v>4700</v>
      </c>
      <c r="E242">
        <v>235</v>
      </c>
      <c r="F242">
        <v>800</v>
      </c>
      <c r="G242">
        <v>4700</v>
      </c>
      <c r="H242">
        <f xml:space="preserve"> Table1[[#This Row],[Gross_Revenue]]-Table1[[#This Row],[Refunds]]</f>
        <v>4465</v>
      </c>
      <c r="I242" s="2">
        <f xml:space="preserve"> Table1[[#This Row],[Net Revenue]]/Table1[[#This Row],[Marketing_Spend]]</f>
        <v>5.5812499999999998</v>
      </c>
      <c r="J242" s="2">
        <f>Table1[[#This Row],[Marketing_Spend]]/Table1[[#This Row],[Web_Traffic]]</f>
        <v>0.1702127659574468</v>
      </c>
    </row>
    <row r="243" spans="1:10" x14ac:dyDescent="0.3">
      <c r="A243" s="1">
        <v>45778</v>
      </c>
      <c r="B243" t="s">
        <v>9</v>
      </c>
      <c r="C243" t="s">
        <v>10</v>
      </c>
      <c r="D243">
        <v>4300</v>
      </c>
      <c r="E243">
        <v>215</v>
      </c>
      <c r="F243">
        <v>1100</v>
      </c>
      <c r="G243">
        <v>5700</v>
      </c>
      <c r="H243">
        <f xml:space="preserve"> Table1[[#This Row],[Gross_Revenue]]-Table1[[#This Row],[Refunds]]</f>
        <v>4085</v>
      </c>
      <c r="I243" s="2">
        <f xml:space="preserve"> Table1[[#This Row],[Net Revenue]]/Table1[[#This Row],[Marketing_Spend]]</f>
        <v>3.7136363636363638</v>
      </c>
      <c r="J243" s="2">
        <f>Table1[[#This Row],[Marketing_Spend]]/Table1[[#This Row],[Web_Traffic]]</f>
        <v>0.19298245614035087</v>
      </c>
    </row>
    <row r="244" spans="1:10" x14ac:dyDescent="0.3">
      <c r="A244" s="1">
        <v>45779</v>
      </c>
      <c r="B244" t="s">
        <v>7</v>
      </c>
      <c r="C244" t="s">
        <v>8</v>
      </c>
      <c r="D244">
        <v>4750</v>
      </c>
      <c r="E244">
        <v>237</v>
      </c>
      <c r="F244">
        <v>810</v>
      </c>
      <c r="G244">
        <v>4750</v>
      </c>
      <c r="H244">
        <f xml:space="preserve"> Table1[[#This Row],[Gross_Revenue]]-Table1[[#This Row],[Refunds]]</f>
        <v>4513</v>
      </c>
      <c r="I244" s="2">
        <f xml:space="preserve"> Table1[[#This Row],[Net Revenue]]/Table1[[#This Row],[Marketing_Spend]]</f>
        <v>5.5716049382716051</v>
      </c>
      <c r="J244" s="2">
        <f>Table1[[#This Row],[Marketing_Spend]]/Table1[[#This Row],[Web_Traffic]]</f>
        <v>0.17052631578947369</v>
      </c>
    </row>
    <row r="245" spans="1:10" x14ac:dyDescent="0.3">
      <c r="A245" s="1">
        <v>45779</v>
      </c>
      <c r="B245" t="s">
        <v>9</v>
      </c>
      <c r="C245" t="s">
        <v>10</v>
      </c>
      <c r="D245">
        <v>4350</v>
      </c>
      <c r="E245">
        <v>217</v>
      </c>
      <c r="F245">
        <v>1110</v>
      </c>
      <c r="G245">
        <v>5750</v>
      </c>
      <c r="H245">
        <f xml:space="preserve"> Table1[[#This Row],[Gross_Revenue]]-Table1[[#This Row],[Refunds]]</f>
        <v>4133</v>
      </c>
      <c r="I245" s="2">
        <f xml:space="preserve"> Table1[[#This Row],[Net Revenue]]/Table1[[#This Row],[Marketing_Spend]]</f>
        <v>3.7234234234234234</v>
      </c>
      <c r="J245" s="2">
        <f>Table1[[#This Row],[Marketing_Spend]]/Table1[[#This Row],[Web_Traffic]]</f>
        <v>0.19304347826086957</v>
      </c>
    </row>
    <row r="246" spans="1:10" x14ac:dyDescent="0.3">
      <c r="A246" s="1">
        <v>45780</v>
      </c>
      <c r="B246" t="s">
        <v>7</v>
      </c>
      <c r="C246" t="s">
        <v>8</v>
      </c>
      <c r="D246">
        <v>4800</v>
      </c>
      <c r="E246">
        <v>240</v>
      </c>
      <c r="F246">
        <v>820</v>
      </c>
      <c r="G246">
        <v>4800</v>
      </c>
      <c r="H246">
        <f xml:space="preserve"> Table1[[#This Row],[Gross_Revenue]]-Table1[[#This Row],[Refunds]]</f>
        <v>4560</v>
      </c>
      <c r="I246" s="2">
        <f xml:space="preserve"> Table1[[#This Row],[Net Revenue]]/Table1[[#This Row],[Marketing_Spend]]</f>
        <v>5.5609756097560972</v>
      </c>
      <c r="J246" s="2">
        <f>Table1[[#This Row],[Marketing_Spend]]/Table1[[#This Row],[Web_Traffic]]</f>
        <v>0.17083333333333334</v>
      </c>
    </row>
    <row r="247" spans="1:10" x14ac:dyDescent="0.3">
      <c r="A247" s="1">
        <v>45780</v>
      </c>
      <c r="B247" t="s">
        <v>9</v>
      </c>
      <c r="C247" t="s">
        <v>10</v>
      </c>
      <c r="D247">
        <v>4400</v>
      </c>
      <c r="E247">
        <v>220</v>
      </c>
      <c r="F247">
        <v>1120</v>
      </c>
      <c r="G247">
        <v>5800</v>
      </c>
      <c r="H247">
        <f xml:space="preserve"> Table1[[#This Row],[Gross_Revenue]]-Table1[[#This Row],[Refunds]]</f>
        <v>4180</v>
      </c>
      <c r="I247" s="2">
        <f xml:space="preserve"> Table1[[#This Row],[Net Revenue]]/Table1[[#This Row],[Marketing_Spend]]</f>
        <v>3.7321428571428572</v>
      </c>
      <c r="J247" s="2">
        <f>Table1[[#This Row],[Marketing_Spend]]/Table1[[#This Row],[Web_Traffic]]</f>
        <v>0.19310344827586207</v>
      </c>
    </row>
    <row r="248" spans="1:10" x14ac:dyDescent="0.3">
      <c r="A248" s="1">
        <v>45781</v>
      </c>
      <c r="B248" t="s">
        <v>7</v>
      </c>
      <c r="C248" t="s">
        <v>8</v>
      </c>
      <c r="D248">
        <v>4850</v>
      </c>
      <c r="E248">
        <v>242</v>
      </c>
      <c r="F248">
        <v>830</v>
      </c>
      <c r="G248">
        <v>4850</v>
      </c>
      <c r="H248">
        <f xml:space="preserve"> Table1[[#This Row],[Gross_Revenue]]-Table1[[#This Row],[Refunds]]</f>
        <v>4608</v>
      </c>
      <c r="I248" s="2">
        <f xml:space="preserve"> Table1[[#This Row],[Net Revenue]]/Table1[[#This Row],[Marketing_Spend]]</f>
        <v>5.5518072289156626</v>
      </c>
      <c r="J248" s="2">
        <f>Table1[[#This Row],[Marketing_Spend]]/Table1[[#This Row],[Web_Traffic]]</f>
        <v>0.1711340206185567</v>
      </c>
    </row>
    <row r="249" spans="1:10" x14ac:dyDescent="0.3">
      <c r="A249" s="1">
        <v>45781</v>
      </c>
      <c r="B249" t="s">
        <v>9</v>
      </c>
      <c r="C249" t="s">
        <v>10</v>
      </c>
      <c r="D249">
        <v>4450</v>
      </c>
      <c r="E249">
        <v>222</v>
      </c>
      <c r="F249">
        <v>1130</v>
      </c>
      <c r="G249">
        <v>5850</v>
      </c>
      <c r="H249">
        <f xml:space="preserve"> Table1[[#This Row],[Gross_Revenue]]-Table1[[#This Row],[Refunds]]</f>
        <v>4228</v>
      </c>
      <c r="I249" s="2">
        <f xml:space="preserve"> Table1[[#This Row],[Net Revenue]]/Table1[[#This Row],[Marketing_Spend]]</f>
        <v>3.7415929203539822</v>
      </c>
      <c r="J249" s="2">
        <f>Table1[[#This Row],[Marketing_Spend]]/Table1[[#This Row],[Web_Traffic]]</f>
        <v>0.19316239316239317</v>
      </c>
    </row>
    <row r="250" spans="1:10" x14ac:dyDescent="0.3">
      <c r="A250" s="1">
        <v>45782</v>
      </c>
      <c r="B250" t="s">
        <v>7</v>
      </c>
      <c r="C250" t="s">
        <v>8</v>
      </c>
      <c r="D250">
        <v>4900</v>
      </c>
      <c r="E250">
        <v>245</v>
      </c>
      <c r="F250">
        <v>840</v>
      </c>
      <c r="G250">
        <v>4900</v>
      </c>
      <c r="H250">
        <f xml:space="preserve"> Table1[[#This Row],[Gross_Revenue]]-Table1[[#This Row],[Refunds]]</f>
        <v>4655</v>
      </c>
      <c r="I250" s="2">
        <f xml:space="preserve"> Table1[[#This Row],[Net Revenue]]/Table1[[#This Row],[Marketing_Spend]]</f>
        <v>5.541666666666667</v>
      </c>
      <c r="J250" s="2">
        <f>Table1[[#This Row],[Marketing_Spend]]/Table1[[#This Row],[Web_Traffic]]</f>
        <v>0.17142857142857143</v>
      </c>
    </row>
    <row r="251" spans="1:10" x14ac:dyDescent="0.3">
      <c r="A251" s="1">
        <v>45782</v>
      </c>
      <c r="B251" t="s">
        <v>9</v>
      </c>
      <c r="C251" t="s">
        <v>10</v>
      </c>
      <c r="D251">
        <v>4500</v>
      </c>
      <c r="E251">
        <v>225</v>
      </c>
      <c r="F251">
        <v>1140</v>
      </c>
      <c r="G251">
        <v>5900</v>
      </c>
      <c r="H251">
        <f xml:space="preserve"> Table1[[#This Row],[Gross_Revenue]]-Table1[[#This Row],[Refunds]]</f>
        <v>4275</v>
      </c>
      <c r="I251" s="2">
        <f xml:space="preserve"> Table1[[#This Row],[Net Revenue]]/Table1[[#This Row],[Marketing_Spend]]</f>
        <v>3.75</v>
      </c>
      <c r="J251" s="2">
        <f>Table1[[#This Row],[Marketing_Spend]]/Table1[[#This Row],[Web_Traffic]]</f>
        <v>0.19322033898305085</v>
      </c>
    </row>
    <row r="252" spans="1:10" x14ac:dyDescent="0.3">
      <c r="A252" s="1">
        <v>45783</v>
      </c>
      <c r="B252" t="s">
        <v>7</v>
      </c>
      <c r="C252" t="s">
        <v>8</v>
      </c>
      <c r="D252">
        <v>4950</v>
      </c>
      <c r="E252">
        <v>247</v>
      </c>
      <c r="F252">
        <v>850</v>
      </c>
      <c r="G252">
        <v>4950</v>
      </c>
      <c r="H252">
        <f xml:space="preserve"> Table1[[#This Row],[Gross_Revenue]]-Table1[[#This Row],[Refunds]]</f>
        <v>4703</v>
      </c>
      <c r="I252" s="2">
        <f xml:space="preserve"> Table1[[#This Row],[Net Revenue]]/Table1[[#This Row],[Marketing_Spend]]</f>
        <v>5.5329411764705885</v>
      </c>
      <c r="J252" s="2">
        <f>Table1[[#This Row],[Marketing_Spend]]/Table1[[#This Row],[Web_Traffic]]</f>
        <v>0.17171717171717171</v>
      </c>
    </row>
    <row r="253" spans="1:10" x14ac:dyDescent="0.3">
      <c r="A253" s="1">
        <v>45783</v>
      </c>
      <c r="B253" t="s">
        <v>9</v>
      </c>
      <c r="C253" t="s">
        <v>10</v>
      </c>
      <c r="D253">
        <v>4550</v>
      </c>
      <c r="E253">
        <v>227</v>
      </c>
      <c r="F253">
        <v>1150</v>
      </c>
      <c r="G253">
        <v>5950</v>
      </c>
      <c r="H253">
        <f xml:space="preserve"> Table1[[#This Row],[Gross_Revenue]]-Table1[[#This Row],[Refunds]]</f>
        <v>4323</v>
      </c>
      <c r="I253" s="2">
        <f xml:space="preserve"> Table1[[#This Row],[Net Revenue]]/Table1[[#This Row],[Marketing_Spend]]</f>
        <v>3.7591304347826089</v>
      </c>
      <c r="J253" s="2">
        <f>Table1[[#This Row],[Marketing_Spend]]/Table1[[#This Row],[Web_Traffic]]</f>
        <v>0.19327731092436976</v>
      </c>
    </row>
    <row r="254" spans="1:10" x14ac:dyDescent="0.3">
      <c r="A254" s="1">
        <v>45784</v>
      </c>
      <c r="B254" t="s">
        <v>7</v>
      </c>
      <c r="C254" t="s">
        <v>8</v>
      </c>
      <c r="D254">
        <v>5000</v>
      </c>
      <c r="E254">
        <v>250</v>
      </c>
      <c r="F254">
        <v>860</v>
      </c>
      <c r="G254">
        <v>5000</v>
      </c>
      <c r="H254">
        <f xml:space="preserve"> Table1[[#This Row],[Gross_Revenue]]-Table1[[#This Row],[Refunds]]</f>
        <v>4750</v>
      </c>
      <c r="I254" s="2">
        <f xml:space="preserve"> Table1[[#This Row],[Net Revenue]]/Table1[[#This Row],[Marketing_Spend]]</f>
        <v>5.5232558139534884</v>
      </c>
      <c r="J254" s="2">
        <f>Table1[[#This Row],[Marketing_Spend]]/Table1[[#This Row],[Web_Traffic]]</f>
        <v>0.17199999999999999</v>
      </c>
    </row>
    <row r="255" spans="1:10" x14ac:dyDescent="0.3">
      <c r="A255" s="1">
        <v>45784</v>
      </c>
      <c r="B255" t="s">
        <v>9</v>
      </c>
      <c r="C255" t="s">
        <v>10</v>
      </c>
      <c r="D255">
        <v>4600</v>
      </c>
      <c r="E255">
        <v>230</v>
      </c>
      <c r="F255">
        <v>1160</v>
      </c>
      <c r="G255">
        <v>6000</v>
      </c>
      <c r="H255">
        <f xml:space="preserve"> Table1[[#This Row],[Gross_Revenue]]-Table1[[#This Row],[Refunds]]</f>
        <v>4370</v>
      </c>
      <c r="I255" s="2">
        <f xml:space="preserve"> Table1[[#This Row],[Net Revenue]]/Table1[[#This Row],[Marketing_Spend]]</f>
        <v>3.7672413793103448</v>
      </c>
      <c r="J255" s="2">
        <f>Table1[[#This Row],[Marketing_Spend]]/Table1[[#This Row],[Web_Traffic]]</f>
        <v>0.19333333333333333</v>
      </c>
    </row>
    <row r="256" spans="1:10" x14ac:dyDescent="0.3">
      <c r="A256" s="1">
        <v>45785</v>
      </c>
      <c r="B256" t="s">
        <v>7</v>
      </c>
      <c r="C256" t="s">
        <v>8</v>
      </c>
      <c r="D256">
        <v>5050</v>
      </c>
      <c r="E256">
        <v>252</v>
      </c>
      <c r="F256">
        <v>870</v>
      </c>
      <c r="G256">
        <v>5050</v>
      </c>
      <c r="H256">
        <f xml:space="preserve"> Table1[[#This Row],[Gross_Revenue]]-Table1[[#This Row],[Refunds]]</f>
        <v>4798</v>
      </c>
      <c r="I256" s="2">
        <f xml:space="preserve"> Table1[[#This Row],[Net Revenue]]/Table1[[#This Row],[Marketing_Spend]]</f>
        <v>5.5149425287356326</v>
      </c>
      <c r="J256" s="2">
        <f>Table1[[#This Row],[Marketing_Spend]]/Table1[[#This Row],[Web_Traffic]]</f>
        <v>0.17227722772277226</v>
      </c>
    </row>
    <row r="257" spans="1:10" x14ac:dyDescent="0.3">
      <c r="A257" s="1">
        <v>45785</v>
      </c>
      <c r="B257" t="s">
        <v>9</v>
      </c>
      <c r="C257" t="s">
        <v>10</v>
      </c>
      <c r="D257">
        <v>4650</v>
      </c>
      <c r="E257">
        <v>232</v>
      </c>
      <c r="F257">
        <v>1170</v>
      </c>
      <c r="G257">
        <v>6050</v>
      </c>
      <c r="H257">
        <f xml:space="preserve"> Table1[[#This Row],[Gross_Revenue]]-Table1[[#This Row],[Refunds]]</f>
        <v>4418</v>
      </c>
      <c r="I257" s="2">
        <f xml:space="preserve"> Table1[[#This Row],[Net Revenue]]/Table1[[#This Row],[Marketing_Spend]]</f>
        <v>3.776068376068376</v>
      </c>
      <c r="J257" s="2">
        <f>Table1[[#This Row],[Marketing_Spend]]/Table1[[#This Row],[Web_Traffic]]</f>
        <v>0.1933884297520661</v>
      </c>
    </row>
    <row r="258" spans="1:10" x14ac:dyDescent="0.3">
      <c r="A258" s="1">
        <v>45786</v>
      </c>
      <c r="B258" t="s">
        <v>7</v>
      </c>
      <c r="C258" t="s">
        <v>8</v>
      </c>
      <c r="D258">
        <v>5100</v>
      </c>
      <c r="E258">
        <v>255</v>
      </c>
      <c r="F258">
        <v>880</v>
      </c>
      <c r="G258">
        <v>5100</v>
      </c>
      <c r="H258">
        <f xml:space="preserve"> Table1[[#This Row],[Gross_Revenue]]-Table1[[#This Row],[Refunds]]</f>
        <v>4845</v>
      </c>
      <c r="I258" s="2">
        <f xml:space="preserve"> Table1[[#This Row],[Net Revenue]]/Table1[[#This Row],[Marketing_Spend]]</f>
        <v>5.5056818181818183</v>
      </c>
      <c r="J258" s="2">
        <f>Table1[[#This Row],[Marketing_Spend]]/Table1[[#This Row],[Web_Traffic]]</f>
        <v>0.17254901960784313</v>
      </c>
    </row>
    <row r="259" spans="1:10" x14ac:dyDescent="0.3">
      <c r="A259" s="1">
        <v>45786</v>
      </c>
      <c r="B259" t="s">
        <v>9</v>
      </c>
      <c r="C259" t="s">
        <v>10</v>
      </c>
      <c r="D259">
        <v>4700</v>
      </c>
      <c r="E259">
        <v>235</v>
      </c>
      <c r="F259">
        <v>1180</v>
      </c>
      <c r="G259">
        <v>6100</v>
      </c>
      <c r="H259">
        <f xml:space="preserve"> Table1[[#This Row],[Gross_Revenue]]-Table1[[#This Row],[Refunds]]</f>
        <v>4465</v>
      </c>
      <c r="I259" s="2">
        <f xml:space="preserve"> Table1[[#This Row],[Net Revenue]]/Table1[[#This Row],[Marketing_Spend]]</f>
        <v>3.7838983050847457</v>
      </c>
      <c r="J259" s="2">
        <f>Table1[[#This Row],[Marketing_Spend]]/Table1[[#This Row],[Web_Traffic]]</f>
        <v>0.19344262295081968</v>
      </c>
    </row>
    <row r="260" spans="1:10" x14ac:dyDescent="0.3">
      <c r="A260" s="1">
        <v>45787</v>
      </c>
      <c r="B260" t="s">
        <v>7</v>
      </c>
      <c r="C260" t="s">
        <v>8</v>
      </c>
      <c r="D260">
        <v>5150</v>
      </c>
      <c r="E260">
        <v>257</v>
      </c>
      <c r="F260">
        <v>890</v>
      </c>
      <c r="G260">
        <v>5150</v>
      </c>
      <c r="H260">
        <f xml:space="preserve"> Table1[[#This Row],[Gross_Revenue]]-Table1[[#This Row],[Refunds]]</f>
        <v>4893</v>
      </c>
      <c r="I260" s="2">
        <f xml:space="preserve"> Table1[[#This Row],[Net Revenue]]/Table1[[#This Row],[Marketing_Spend]]</f>
        <v>5.4977528089887642</v>
      </c>
      <c r="J260" s="2">
        <f>Table1[[#This Row],[Marketing_Spend]]/Table1[[#This Row],[Web_Traffic]]</f>
        <v>0.17281553398058253</v>
      </c>
    </row>
    <row r="261" spans="1:10" x14ac:dyDescent="0.3">
      <c r="A261" s="1">
        <v>45787</v>
      </c>
      <c r="B261" t="s">
        <v>9</v>
      </c>
      <c r="C261" t="s">
        <v>10</v>
      </c>
      <c r="D261">
        <v>4750</v>
      </c>
      <c r="E261">
        <v>237</v>
      </c>
      <c r="F261">
        <v>1190</v>
      </c>
      <c r="G261">
        <v>6150</v>
      </c>
      <c r="H261">
        <f xml:space="preserve"> Table1[[#This Row],[Gross_Revenue]]-Table1[[#This Row],[Refunds]]</f>
        <v>4513</v>
      </c>
      <c r="I261" s="2">
        <f xml:space="preserve"> Table1[[#This Row],[Net Revenue]]/Table1[[#This Row],[Marketing_Spend]]</f>
        <v>3.7924369747899158</v>
      </c>
      <c r="J261" s="2">
        <f>Table1[[#This Row],[Marketing_Spend]]/Table1[[#This Row],[Web_Traffic]]</f>
        <v>0.19349593495934958</v>
      </c>
    </row>
    <row r="262" spans="1:10" x14ac:dyDescent="0.3">
      <c r="A262" s="1">
        <v>45788</v>
      </c>
      <c r="B262" t="s">
        <v>7</v>
      </c>
      <c r="C262" t="s">
        <v>8</v>
      </c>
      <c r="D262">
        <v>5200</v>
      </c>
      <c r="E262">
        <v>260</v>
      </c>
      <c r="F262">
        <v>900</v>
      </c>
      <c r="G262">
        <v>5200</v>
      </c>
      <c r="H262">
        <f xml:space="preserve"> Table1[[#This Row],[Gross_Revenue]]-Table1[[#This Row],[Refunds]]</f>
        <v>4940</v>
      </c>
      <c r="I262" s="2">
        <f xml:space="preserve"> Table1[[#This Row],[Net Revenue]]/Table1[[#This Row],[Marketing_Spend]]</f>
        <v>5.4888888888888889</v>
      </c>
      <c r="J262" s="2">
        <f>Table1[[#This Row],[Marketing_Spend]]/Table1[[#This Row],[Web_Traffic]]</f>
        <v>0.17307692307692307</v>
      </c>
    </row>
    <row r="263" spans="1:10" x14ac:dyDescent="0.3">
      <c r="A263" s="1">
        <v>45788</v>
      </c>
      <c r="B263" t="s">
        <v>9</v>
      </c>
      <c r="C263" t="s">
        <v>10</v>
      </c>
      <c r="D263">
        <v>4800</v>
      </c>
      <c r="E263">
        <v>240</v>
      </c>
      <c r="F263">
        <v>1200</v>
      </c>
      <c r="G263">
        <v>6200</v>
      </c>
      <c r="H263">
        <f xml:space="preserve"> Table1[[#This Row],[Gross_Revenue]]-Table1[[#This Row],[Refunds]]</f>
        <v>4560</v>
      </c>
      <c r="I263" s="2">
        <f xml:space="preserve"> Table1[[#This Row],[Net Revenue]]/Table1[[#This Row],[Marketing_Spend]]</f>
        <v>3.8</v>
      </c>
      <c r="J263" s="2">
        <f>Table1[[#This Row],[Marketing_Spend]]/Table1[[#This Row],[Web_Traffic]]</f>
        <v>0.19354838709677419</v>
      </c>
    </row>
    <row r="264" spans="1:10" x14ac:dyDescent="0.3">
      <c r="A264" s="1">
        <v>45789</v>
      </c>
      <c r="B264" t="s">
        <v>7</v>
      </c>
      <c r="C264" t="s">
        <v>8</v>
      </c>
      <c r="D264">
        <v>5250</v>
      </c>
      <c r="E264">
        <v>262</v>
      </c>
      <c r="F264">
        <v>910</v>
      </c>
      <c r="G264">
        <v>5250</v>
      </c>
      <c r="H264">
        <f xml:space="preserve"> Table1[[#This Row],[Gross_Revenue]]-Table1[[#This Row],[Refunds]]</f>
        <v>4988</v>
      </c>
      <c r="I264" s="2">
        <f xml:space="preserve"> Table1[[#This Row],[Net Revenue]]/Table1[[#This Row],[Marketing_Spend]]</f>
        <v>5.4813186813186814</v>
      </c>
      <c r="J264" s="2">
        <f>Table1[[#This Row],[Marketing_Spend]]/Table1[[#This Row],[Web_Traffic]]</f>
        <v>0.17333333333333334</v>
      </c>
    </row>
    <row r="265" spans="1:10" x14ac:dyDescent="0.3">
      <c r="A265" s="1">
        <v>45789</v>
      </c>
      <c r="B265" t="s">
        <v>9</v>
      </c>
      <c r="C265" t="s">
        <v>10</v>
      </c>
      <c r="D265">
        <v>4850</v>
      </c>
      <c r="E265">
        <v>242</v>
      </c>
      <c r="F265">
        <v>1210</v>
      </c>
      <c r="G265">
        <v>6250</v>
      </c>
      <c r="H265">
        <f xml:space="preserve"> Table1[[#This Row],[Gross_Revenue]]-Table1[[#This Row],[Refunds]]</f>
        <v>4608</v>
      </c>
      <c r="I265" s="2">
        <f xml:space="preserve"> Table1[[#This Row],[Net Revenue]]/Table1[[#This Row],[Marketing_Spend]]</f>
        <v>3.8082644628099174</v>
      </c>
      <c r="J265" s="2">
        <f>Table1[[#This Row],[Marketing_Spend]]/Table1[[#This Row],[Web_Traffic]]</f>
        <v>0.19359999999999999</v>
      </c>
    </row>
    <row r="266" spans="1:10" x14ac:dyDescent="0.3">
      <c r="A266" s="1">
        <v>45790</v>
      </c>
      <c r="B266" t="s">
        <v>7</v>
      </c>
      <c r="C266" t="s">
        <v>8</v>
      </c>
      <c r="D266">
        <v>5300</v>
      </c>
      <c r="E266">
        <v>265</v>
      </c>
      <c r="F266">
        <v>920</v>
      </c>
      <c r="G266">
        <v>5300</v>
      </c>
      <c r="H266">
        <f xml:space="preserve"> Table1[[#This Row],[Gross_Revenue]]-Table1[[#This Row],[Refunds]]</f>
        <v>5035</v>
      </c>
      <c r="I266" s="2">
        <f xml:space="preserve"> Table1[[#This Row],[Net Revenue]]/Table1[[#This Row],[Marketing_Spend]]</f>
        <v>5.4728260869565215</v>
      </c>
      <c r="J266" s="2">
        <f>Table1[[#This Row],[Marketing_Spend]]/Table1[[#This Row],[Web_Traffic]]</f>
        <v>0.17358490566037735</v>
      </c>
    </row>
    <row r="267" spans="1:10" x14ac:dyDescent="0.3">
      <c r="A267" s="1">
        <v>45790</v>
      </c>
      <c r="B267" t="s">
        <v>9</v>
      </c>
      <c r="C267" t="s">
        <v>10</v>
      </c>
      <c r="D267">
        <v>4900</v>
      </c>
      <c r="E267">
        <v>245</v>
      </c>
      <c r="F267">
        <v>1220</v>
      </c>
      <c r="G267">
        <v>6300</v>
      </c>
      <c r="H267">
        <f xml:space="preserve"> Table1[[#This Row],[Gross_Revenue]]-Table1[[#This Row],[Refunds]]</f>
        <v>4655</v>
      </c>
      <c r="I267" s="2">
        <f xml:space="preserve"> Table1[[#This Row],[Net Revenue]]/Table1[[#This Row],[Marketing_Spend]]</f>
        <v>3.8155737704918034</v>
      </c>
      <c r="J267" s="2">
        <f>Table1[[#This Row],[Marketing_Spend]]/Table1[[#This Row],[Web_Traffic]]</f>
        <v>0.19365079365079366</v>
      </c>
    </row>
    <row r="268" spans="1:10" x14ac:dyDescent="0.3">
      <c r="A268" s="1">
        <v>45791</v>
      </c>
      <c r="B268" t="s">
        <v>7</v>
      </c>
      <c r="C268" t="s">
        <v>8</v>
      </c>
      <c r="D268">
        <v>5350</v>
      </c>
      <c r="E268">
        <v>267</v>
      </c>
      <c r="F268">
        <v>930</v>
      </c>
      <c r="G268">
        <v>5350</v>
      </c>
      <c r="H268">
        <f xml:space="preserve"> Table1[[#This Row],[Gross_Revenue]]-Table1[[#This Row],[Refunds]]</f>
        <v>5083</v>
      </c>
      <c r="I268" s="2">
        <f xml:space="preserve"> Table1[[#This Row],[Net Revenue]]/Table1[[#This Row],[Marketing_Spend]]</f>
        <v>5.4655913978494626</v>
      </c>
      <c r="J268" s="2">
        <f>Table1[[#This Row],[Marketing_Spend]]/Table1[[#This Row],[Web_Traffic]]</f>
        <v>0.17383177570093458</v>
      </c>
    </row>
    <row r="269" spans="1:10" x14ac:dyDescent="0.3">
      <c r="A269" s="1">
        <v>45791</v>
      </c>
      <c r="B269" t="s">
        <v>9</v>
      </c>
      <c r="C269" t="s">
        <v>10</v>
      </c>
      <c r="D269">
        <v>4950</v>
      </c>
      <c r="E269">
        <v>247</v>
      </c>
      <c r="F269">
        <v>1230</v>
      </c>
      <c r="G269">
        <v>6350</v>
      </c>
      <c r="H269">
        <f xml:space="preserve"> Table1[[#This Row],[Gross_Revenue]]-Table1[[#This Row],[Refunds]]</f>
        <v>4703</v>
      </c>
      <c r="I269" s="2">
        <f xml:space="preserve"> Table1[[#This Row],[Net Revenue]]/Table1[[#This Row],[Marketing_Spend]]</f>
        <v>3.8235772357723579</v>
      </c>
      <c r="J269" s="2">
        <f>Table1[[#This Row],[Marketing_Spend]]/Table1[[#This Row],[Web_Traffic]]</f>
        <v>0.19370078740157481</v>
      </c>
    </row>
    <row r="270" spans="1:10" x14ac:dyDescent="0.3">
      <c r="A270" s="1">
        <v>45792</v>
      </c>
      <c r="B270" t="s">
        <v>7</v>
      </c>
      <c r="C270" t="s">
        <v>8</v>
      </c>
      <c r="D270">
        <v>5400</v>
      </c>
      <c r="E270">
        <v>270</v>
      </c>
      <c r="F270">
        <v>940</v>
      </c>
      <c r="G270">
        <v>5400</v>
      </c>
      <c r="H270">
        <f xml:space="preserve"> Table1[[#This Row],[Gross_Revenue]]-Table1[[#This Row],[Refunds]]</f>
        <v>5130</v>
      </c>
      <c r="I270" s="2">
        <f xml:space="preserve"> Table1[[#This Row],[Net Revenue]]/Table1[[#This Row],[Marketing_Spend]]</f>
        <v>5.457446808510638</v>
      </c>
      <c r="J270" s="2">
        <f>Table1[[#This Row],[Marketing_Spend]]/Table1[[#This Row],[Web_Traffic]]</f>
        <v>0.17407407407407408</v>
      </c>
    </row>
    <row r="271" spans="1:10" x14ac:dyDescent="0.3">
      <c r="A271" s="1">
        <v>45792</v>
      </c>
      <c r="B271" t="s">
        <v>9</v>
      </c>
      <c r="C271" t="s">
        <v>10</v>
      </c>
      <c r="D271">
        <v>5000</v>
      </c>
      <c r="E271">
        <v>250</v>
      </c>
      <c r="F271">
        <v>1240</v>
      </c>
      <c r="G271">
        <v>6400</v>
      </c>
      <c r="H271">
        <f xml:space="preserve"> Table1[[#This Row],[Gross_Revenue]]-Table1[[#This Row],[Refunds]]</f>
        <v>4750</v>
      </c>
      <c r="I271" s="2">
        <f xml:space="preserve"> Table1[[#This Row],[Net Revenue]]/Table1[[#This Row],[Marketing_Spend]]</f>
        <v>3.8306451612903225</v>
      </c>
      <c r="J271" s="2">
        <f>Table1[[#This Row],[Marketing_Spend]]/Table1[[#This Row],[Web_Traffic]]</f>
        <v>0.19375000000000001</v>
      </c>
    </row>
    <row r="272" spans="1:10" x14ac:dyDescent="0.3">
      <c r="A272" s="1">
        <v>45793</v>
      </c>
      <c r="B272" t="s">
        <v>7</v>
      </c>
      <c r="C272" t="s">
        <v>8</v>
      </c>
      <c r="D272">
        <v>5450</v>
      </c>
      <c r="E272">
        <v>272</v>
      </c>
      <c r="F272">
        <v>950</v>
      </c>
      <c r="G272">
        <v>5450</v>
      </c>
      <c r="H272">
        <f xml:space="preserve"> Table1[[#This Row],[Gross_Revenue]]-Table1[[#This Row],[Refunds]]</f>
        <v>5178</v>
      </c>
      <c r="I272" s="2">
        <f xml:space="preserve"> Table1[[#This Row],[Net Revenue]]/Table1[[#This Row],[Marketing_Spend]]</f>
        <v>5.4505263157894737</v>
      </c>
      <c r="J272" s="2">
        <f>Table1[[#This Row],[Marketing_Spend]]/Table1[[#This Row],[Web_Traffic]]</f>
        <v>0.1743119266055046</v>
      </c>
    </row>
    <row r="273" spans="1:10" x14ac:dyDescent="0.3">
      <c r="A273" s="1">
        <v>45793</v>
      </c>
      <c r="B273" t="s">
        <v>9</v>
      </c>
      <c r="C273" t="s">
        <v>10</v>
      </c>
      <c r="D273">
        <v>5050</v>
      </c>
      <c r="E273">
        <v>252</v>
      </c>
      <c r="F273">
        <v>1250</v>
      </c>
      <c r="G273">
        <v>6450</v>
      </c>
      <c r="H273">
        <f xml:space="preserve"> Table1[[#This Row],[Gross_Revenue]]-Table1[[#This Row],[Refunds]]</f>
        <v>4798</v>
      </c>
      <c r="I273" s="2">
        <f xml:space="preserve"> Table1[[#This Row],[Net Revenue]]/Table1[[#This Row],[Marketing_Spend]]</f>
        <v>3.8384</v>
      </c>
      <c r="J273" s="2">
        <f>Table1[[#This Row],[Marketing_Spend]]/Table1[[#This Row],[Web_Traffic]]</f>
        <v>0.19379844961240311</v>
      </c>
    </row>
    <row r="274" spans="1:10" x14ac:dyDescent="0.3">
      <c r="A274" s="1">
        <v>45794</v>
      </c>
      <c r="B274" t="s">
        <v>7</v>
      </c>
      <c r="C274" t="s">
        <v>8</v>
      </c>
      <c r="D274">
        <v>5500</v>
      </c>
      <c r="E274">
        <v>275</v>
      </c>
      <c r="F274">
        <v>960</v>
      </c>
      <c r="G274">
        <v>5500</v>
      </c>
      <c r="H274">
        <f xml:space="preserve"> Table1[[#This Row],[Gross_Revenue]]-Table1[[#This Row],[Refunds]]</f>
        <v>5225</v>
      </c>
      <c r="I274" s="2">
        <f xml:space="preserve"> Table1[[#This Row],[Net Revenue]]/Table1[[#This Row],[Marketing_Spend]]</f>
        <v>5.442708333333333</v>
      </c>
      <c r="J274" s="2">
        <f>Table1[[#This Row],[Marketing_Spend]]/Table1[[#This Row],[Web_Traffic]]</f>
        <v>0.17454545454545456</v>
      </c>
    </row>
    <row r="275" spans="1:10" x14ac:dyDescent="0.3">
      <c r="A275" s="1">
        <v>45794</v>
      </c>
      <c r="B275" t="s">
        <v>9</v>
      </c>
      <c r="C275" t="s">
        <v>10</v>
      </c>
      <c r="D275">
        <v>5100</v>
      </c>
      <c r="E275">
        <v>255</v>
      </c>
      <c r="F275">
        <v>1260</v>
      </c>
      <c r="G275">
        <v>6500</v>
      </c>
      <c r="H275">
        <f xml:space="preserve"> Table1[[#This Row],[Gross_Revenue]]-Table1[[#This Row],[Refunds]]</f>
        <v>4845</v>
      </c>
      <c r="I275" s="2">
        <f xml:space="preserve"> Table1[[#This Row],[Net Revenue]]/Table1[[#This Row],[Marketing_Spend]]</f>
        <v>3.8452380952380953</v>
      </c>
      <c r="J275" s="2">
        <f>Table1[[#This Row],[Marketing_Spend]]/Table1[[#This Row],[Web_Traffic]]</f>
        <v>0.19384615384615383</v>
      </c>
    </row>
    <row r="276" spans="1:10" x14ac:dyDescent="0.3">
      <c r="A276" s="1">
        <v>45795</v>
      </c>
      <c r="B276" t="s">
        <v>7</v>
      </c>
      <c r="C276" t="s">
        <v>8</v>
      </c>
      <c r="D276">
        <v>5550</v>
      </c>
      <c r="E276">
        <v>277</v>
      </c>
      <c r="F276">
        <v>970</v>
      </c>
      <c r="G276">
        <v>5550</v>
      </c>
      <c r="H276">
        <f xml:space="preserve"> Table1[[#This Row],[Gross_Revenue]]-Table1[[#This Row],[Refunds]]</f>
        <v>5273</v>
      </c>
      <c r="I276" s="2">
        <f xml:space="preserve"> Table1[[#This Row],[Net Revenue]]/Table1[[#This Row],[Marketing_Spend]]</f>
        <v>5.4360824742268044</v>
      </c>
      <c r="J276" s="2">
        <f>Table1[[#This Row],[Marketing_Spend]]/Table1[[#This Row],[Web_Traffic]]</f>
        <v>0.17477477477477477</v>
      </c>
    </row>
    <row r="277" spans="1:10" x14ac:dyDescent="0.3">
      <c r="A277" s="1">
        <v>45795</v>
      </c>
      <c r="B277" t="s">
        <v>9</v>
      </c>
      <c r="C277" t="s">
        <v>10</v>
      </c>
      <c r="D277">
        <v>5150</v>
      </c>
      <c r="E277">
        <v>257</v>
      </c>
      <c r="F277">
        <v>1270</v>
      </c>
      <c r="G277">
        <v>6550</v>
      </c>
      <c r="H277">
        <f xml:space="preserve"> Table1[[#This Row],[Gross_Revenue]]-Table1[[#This Row],[Refunds]]</f>
        <v>4893</v>
      </c>
      <c r="I277" s="2">
        <f xml:space="preserve"> Table1[[#This Row],[Net Revenue]]/Table1[[#This Row],[Marketing_Spend]]</f>
        <v>3.852755905511811</v>
      </c>
      <c r="J277" s="2">
        <f>Table1[[#This Row],[Marketing_Spend]]/Table1[[#This Row],[Web_Traffic]]</f>
        <v>0.19389312977099238</v>
      </c>
    </row>
    <row r="278" spans="1:10" x14ac:dyDescent="0.3">
      <c r="A278" s="1">
        <v>45796</v>
      </c>
      <c r="B278" t="s">
        <v>7</v>
      </c>
      <c r="C278" t="s">
        <v>8</v>
      </c>
      <c r="D278">
        <v>5600</v>
      </c>
      <c r="E278">
        <v>280</v>
      </c>
      <c r="F278">
        <v>980</v>
      </c>
      <c r="G278">
        <v>5600</v>
      </c>
      <c r="H278">
        <f xml:space="preserve"> Table1[[#This Row],[Gross_Revenue]]-Table1[[#This Row],[Refunds]]</f>
        <v>5320</v>
      </c>
      <c r="I278" s="2">
        <f xml:space="preserve"> Table1[[#This Row],[Net Revenue]]/Table1[[#This Row],[Marketing_Spend]]</f>
        <v>5.4285714285714288</v>
      </c>
      <c r="J278" s="2">
        <f>Table1[[#This Row],[Marketing_Spend]]/Table1[[#This Row],[Web_Traffic]]</f>
        <v>0.17499999999999999</v>
      </c>
    </row>
    <row r="279" spans="1:10" x14ac:dyDescent="0.3">
      <c r="A279" s="1">
        <v>45796</v>
      </c>
      <c r="B279" t="s">
        <v>9</v>
      </c>
      <c r="C279" t="s">
        <v>10</v>
      </c>
      <c r="D279">
        <v>5200</v>
      </c>
      <c r="E279">
        <v>260</v>
      </c>
      <c r="F279">
        <v>1280</v>
      </c>
      <c r="G279">
        <v>6600</v>
      </c>
      <c r="H279">
        <f xml:space="preserve"> Table1[[#This Row],[Gross_Revenue]]-Table1[[#This Row],[Refunds]]</f>
        <v>4940</v>
      </c>
      <c r="I279" s="2">
        <f xml:space="preserve"> Table1[[#This Row],[Net Revenue]]/Table1[[#This Row],[Marketing_Spend]]</f>
        <v>3.859375</v>
      </c>
      <c r="J279" s="2">
        <f>Table1[[#This Row],[Marketing_Spend]]/Table1[[#This Row],[Web_Traffic]]</f>
        <v>0.19393939393939394</v>
      </c>
    </row>
    <row r="280" spans="1:10" x14ac:dyDescent="0.3">
      <c r="A280" s="1">
        <v>45797</v>
      </c>
      <c r="B280" t="s">
        <v>7</v>
      </c>
      <c r="C280" t="s">
        <v>8</v>
      </c>
      <c r="D280">
        <v>5650</v>
      </c>
      <c r="E280">
        <v>282</v>
      </c>
      <c r="F280">
        <v>990</v>
      </c>
      <c r="G280">
        <v>5650</v>
      </c>
      <c r="H280">
        <f xml:space="preserve"> Table1[[#This Row],[Gross_Revenue]]-Table1[[#This Row],[Refunds]]</f>
        <v>5368</v>
      </c>
      <c r="I280" s="2">
        <f xml:space="preserve"> Table1[[#This Row],[Net Revenue]]/Table1[[#This Row],[Marketing_Spend]]</f>
        <v>5.4222222222222225</v>
      </c>
      <c r="J280" s="2">
        <f>Table1[[#This Row],[Marketing_Spend]]/Table1[[#This Row],[Web_Traffic]]</f>
        <v>0.17522123893805311</v>
      </c>
    </row>
    <row r="281" spans="1:10" x14ac:dyDescent="0.3">
      <c r="A281" s="1">
        <v>45797</v>
      </c>
      <c r="B281" t="s">
        <v>9</v>
      </c>
      <c r="C281" t="s">
        <v>10</v>
      </c>
      <c r="D281">
        <v>5250</v>
      </c>
      <c r="E281">
        <v>262</v>
      </c>
      <c r="F281">
        <v>1290</v>
      </c>
      <c r="G281">
        <v>6650</v>
      </c>
      <c r="H281">
        <f xml:space="preserve"> Table1[[#This Row],[Gross_Revenue]]-Table1[[#This Row],[Refunds]]</f>
        <v>4988</v>
      </c>
      <c r="I281" s="2">
        <f xml:space="preserve"> Table1[[#This Row],[Net Revenue]]/Table1[[#This Row],[Marketing_Spend]]</f>
        <v>3.8666666666666667</v>
      </c>
      <c r="J281" s="2">
        <f>Table1[[#This Row],[Marketing_Spend]]/Table1[[#This Row],[Web_Traffic]]</f>
        <v>0.19398496240601504</v>
      </c>
    </row>
    <row r="282" spans="1:10" x14ac:dyDescent="0.3">
      <c r="A282" s="1">
        <v>45798</v>
      </c>
      <c r="B282" t="s">
        <v>7</v>
      </c>
      <c r="C282" t="s">
        <v>8</v>
      </c>
      <c r="D282">
        <v>5700</v>
      </c>
      <c r="E282">
        <v>285</v>
      </c>
      <c r="F282">
        <v>1000</v>
      </c>
      <c r="G282">
        <v>5700</v>
      </c>
      <c r="H282">
        <f xml:space="preserve"> Table1[[#This Row],[Gross_Revenue]]-Table1[[#This Row],[Refunds]]</f>
        <v>5415</v>
      </c>
      <c r="I282" s="2">
        <f xml:space="preserve"> Table1[[#This Row],[Net Revenue]]/Table1[[#This Row],[Marketing_Spend]]</f>
        <v>5.415</v>
      </c>
      <c r="J282" s="2">
        <f>Table1[[#This Row],[Marketing_Spend]]/Table1[[#This Row],[Web_Traffic]]</f>
        <v>0.17543859649122806</v>
      </c>
    </row>
    <row r="283" spans="1:10" x14ac:dyDescent="0.3">
      <c r="A283" s="1">
        <v>45798</v>
      </c>
      <c r="B283" t="s">
        <v>9</v>
      </c>
      <c r="C283" t="s">
        <v>10</v>
      </c>
      <c r="D283">
        <v>5300</v>
      </c>
      <c r="E283">
        <v>265</v>
      </c>
      <c r="F283">
        <v>1300</v>
      </c>
      <c r="G283">
        <v>6700</v>
      </c>
      <c r="H283">
        <f xml:space="preserve"> Table1[[#This Row],[Gross_Revenue]]-Table1[[#This Row],[Refunds]]</f>
        <v>5035</v>
      </c>
      <c r="I283" s="2">
        <f xml:space="preserve"> Table1[[#This Row],[Net Revenue]]/Table1[[#This Row],[Marketing_Spend]]</f>
        <v>3.8730769230769231</v>
      </c>
      <c r="J283" s="2">
        <f>Table1[[#This Row],[Marketing_Spend]]/Table1[[#This Row],[Web_Traffic]]</f>
        <v>0.19402985074626866</v>
      </c>
    </row>
    <row r="284" spans="1:10" x14ac:dyDescent="0.3">
      <c r="A284" s="1">
        <v>45799</v>
      </c>
      <c r="B284" t="s">
        <v>7</v>
      </c>
      <c r="C284" t="s">
        <v>8</v>
      </c>
      <c r="D284">
        <v>5750</v>
      </c>
      <c r="E284">
        <v>287</v>
      </c>
      <c r="F284">
        <v>1010</v>
      </c>
      <c r="G284">
        <v>5750</v>
      </c>
      <c r="H284">
        <f xml:space="preserve"> Table1[[#This Row],[Gross_Revenue]]-Table1[[#This Row],[Refunds]]</f>
        <v>5463</v>
      </c>
      <c r="I284" s="2">
        <f xml:space="preserve"> Table1[[#This Row],[Net Revenue]]/Table1[[#This Row],[Marketing_Spend]]</f>
        <v>5.4089108910891088</v>
      </c>
      <c r="J284" s="2">
        <f>Table1[[#This Row],[Marketing_Spend]]/Table1[[#This Row],[Web_Traffic]]</f>
        <v>0.17565217391304347</v>
      </c>
    </row>
    <row r="285" spans="1:10" x14ac:dyDescent="0.3">
      <c r="A285" s="1">
        <v>45799</v>
      </c>
      <c r="B285" t="s">
        <v>9</v>
      </c>
      <c r="C285" t="s">
        <v>10</v>
      </c>
      <c r="D285">
        <v>5350</v>
      </c>
      <c r="E285">
        <v>267</v>
      </c>
      <c r="F285">
        <v>1310</v>
      </c>
      <c r="G285">
        <v>6750</v>
      </c>
      <c r="H285">
        <f xml:space="preserve"> Table1[[#This Row],[Gross_Revenue]]-Table1[[#This Row],[Refunds]]</f>
        <v>5083</v>
      </c>
      <c r="I285" s="2">
        <f xml:space="preserve"> Table1[[#This Row],[Net Revenue]]/Table1[[#This Row],[Marketing_Spend]]</f>
        <v>3.8801526717557251</v>
      </c>
      <c r="J285" s="2">
        <f>Table1[[#This Row],[Marketing_Spend]]/Table1[[#This Row],[Web_Traffic]]</f>
        <v>0.19407407407407407</v>
      </c>
    </row>
    <row r="286" spans="1:10" x14ac:dyDescent="0.3">
      <c r="A286" s="1">
        <v>45800</v>
      </c>
      <c r="B286" t="s">
        <v>7</v>
      </c>
      <c r="C286" t="s">
        <v>8</v>
      </c>
      <c r="D286">
        <v>5800</v>
      </c>
      <c r="E286">
        <v>290</v>
      </c>
      <c r="F286">
        <v>1020</v>
      </c>
      <c r="G286">
        <v>5800</v>
      </c>
      <c r="H286">
        <f xml:space="preserve"> Table1[[#This Row],[Gross_Revenue]]-Table1[[#This Row],[Refunds]]</f>
        <v>5510</v>
      </c>
      <c r="I286" s="2">
        <f xml:space="preserve"> Table1[[#This Row],[Net Revenue]]/Table1[[#This Row],[Marketing_Spend]]</f>
        <v>5.4019607843137258</v>
      </c>
      <c r="J286" s="2">
        <f>Table1[[#This Row],[Marketing_Spend]]/Table1[[#This Row],[Web_Traffic]]</f>
        <v>0.17586206896551723</v>
      </c>
    </row>
    <row r="287" spans="1:10" x14ac:dyDescent="0.3">
      <c r="A287" s="1">
        <v>45800</v>
      </c>
      <c r="B287" t="s">
        <v>9</v>
      </c>
      <c r="C287" t="s">
        <v>10</v>
      </c>
      <c r="D287">
        <v>5400</v>
      </c>
      <c r="E287">
        <v>270</v>
      </c>
      <c r="F287">
        <v>1320</v>
      </c>
      <c r="G287">
        <v>6800</v>
      </c>
      <c r="H287">
        <f xml:space="preserve"> Table1[[#This Row],[Gross_Revenue]]-Table1[[#This Row],[Refunds]]</f>
        <v>5130</v>
      </c>
      <c r="I287" s="2">
        <f xml:space="preserve"> Table1[[#This Row],[Net Revenue]]/Table1[[#This Row],[Marketing_Spend]]</f>
        <v>3.8863636363636362</v>
      </c>
      <c r="J287" s="2">
        <f>Table1[[#This Row],[Marketing_Spend]]/Table1[[#This Row],[Web_Traffic]]</f>
        <v>0.19411764705882353</v>
      </c>
    </row>
    <row r="288" spans="1:10" x14ac:dyDescent="0.3">
      <c r="A288" s="1">
        <v>45801</v>
      </c>
      <c r="B288" t="s">
        <v>7</v>
      </c>
      <c r="C288" t="s">
        <v>8</v>
      </c>
      <c r="D288">
        <v>5850</v>
      </c>
      <c r="E288">
        <v>292</v>
      </c>
      <c r="F288">
        <v>1030</v>
      </c>
      <c r="G288">
        <v>5850</v>
      </c>
      <c r="H288">
        <f xml:space="preserve"> Table1[[#This Row],[Gross_Revenue]]-Table1[[#This Row],[Refunds]]</f>
        <v>5558</v>
      </c>
      <c r="I288" s="2">
        <f xml:space="preserve"> Table1[[#This Row],[Net Revenue]]/Table1[[#This Row],[Marketing_Spend]]</f>
        <v>5.3961165048543691</v>
      </c>
      <c r="J288" s="2">
        <f>Table1[[#This Row],[Marketing_Spend]]/Table1[[#This Row],[Web_Traffic]]</f>
        <v>0.17606837606837608</v>
      </c>
    </row>
    <row r="289" spans="1:10" x14ac:dyDescent="0.3">
      <c r="A289" s="1">
        <v>45801</v>
      </c>
      <c r="B289" t="s">
        <v>9</v>
      </c>
      <c r="C289" t="s">
        <v>10</v>
      </c>
      <c r="D289">
        <v>5450</v>
      </c>
      <c r="E289">
        <v>272</v>
      </c>
      <c r="F289">
        <v>1330</v>
      </c>
      <c r="G289">
        <v>6850</v>
      </c>
      <c r="H289">
        <f xml:space="preserve"> Table1[[#This Row],[Gross_Revenue]]-Table1[[#This Row],[Refunds]]</f>
        <v>5178</v>
      </c>
      <c r="I289" s="2">
        <f xml:space="preserve"> Table1[[#This Row],[Net Revenue]]/Table1[[#This Row],[Marketing_Spend]]</f>
        <v>3.8932330827067667</v>
      </c>
      <c r="J289" s="2">
        <f>Table1[[#This Row],[Marketing_Spend]]/Table1[[#This Row],[Web_Traffic]]</f>
        <v>0.19416058394160585</v>
      </c>
    </row>
    <row r="290" spans="1:10" x14ac:dyDescent="0.3">
      <c r="A290" s="1">
        <v>45802</v>
      </c>
      <c r="B290" t="s">
        <v>7</v>
      </c>
      <c r="C290" t="s">
        <v>8</v>
      </c>
      <c r="D290">
        <v>5900</v>
      </c>
      <c r="E290">
        <v>295</v>
      </c>
      <c r="F290">
        <v>1040</v>
      </c>
      <c r="G290">
        <v>5900</v>
      </c>
      <c r="H290">
        <f xml:space="preserve"> Table1[[#This Row],[Gross_Revenue]]-Table1[[#This Row],[Refunds]]</f>
        <v>5605</v>
      </c>
      <c r="I290" s="2">
        <f xml:space="preserve"> Table1[[#This Row],[Net Revenue]]/Table1[[#This Row],[Marketing_Spend]]</f>
        <v>5.3894230769230766</v>
      </c>
      <c r="J290" s="2">
        <f>Table1[[#This Row],[Marketing_Spend]]/Table1[[#This Row],[Web_Traffic]]</f>
        <v>0.17627118644067796</v>
      </c>
    </row>
    <row r="291" spans="1:10" x14ac:dyDescent="0.3">
      <c r="A291" s="1">
        <v>45802</v>
      </c>
      <c r="B291" t="s">
        <v>9</v>
      </c>
      <c r="C291" t="s">
        <v>10</v>
      </c>
      <c r="D291">
        <v>5500</v>
      </c>
      <c r="E291">
        <v>275</v>
      </c>
      <c r="F291">
        <v>1340</v>
      </c>
      <c r="G291">
        <v>6900</v>
      </c>
      <c r="H291">
        <f xml:space="preserve"> Table1[[#This Row],[Gross_Revenue]]-Table1[[#This Row],[Refunds]]</f>
        <v>5225</v>
      </c>
      <c r="I291" s="2">
        <f xml:space="preserve"> Table1[[#This Row],[Net Revenue]]/Table1[[#This Row],[Marketing_Spend]]</f>
        <v>3.8992537313432836</v>
      </c>
      <c r="J291" s="2">
        <f>Table1[[#This Row],[Marketing_Spend]]/Table1[[#This Row],[Web_Traffic]]</f>
        <v>0.19420289855072465</v>
      </c>
    </row>
    <row r="292" spans="1:10" x14ac:dyDescent="0.3">
      <c r="A292" s="1">
        <v>45803</v>
      </c>
      <c r="B292" t="s">
        <v>7</v>
      </c>
      <c r="C292" t="s">
        <v>8</v>
      </c>
      <c r="D292">
        <v>5950</v>
      </c>
      <c r="E292">
        <v>297</v>
      </c>
      <c r="F292">
        <v>1050</v>
      </c>
      <c r="G292">
        <v>5950</v>
      </c>
      <c r="H292">
        <f xml:space="preserve"> Table1[[#This Row],[Gross_Revenue]]-Table1[[#This Row],[Refunds]]</f>
        <v>5653</v>
      </c>
      <c r="I292" s="2">
        <f xml:space="preserve"> Table1[[#This Row],[Net Revenue]]/Table1[[#This Row],[Marketing_Spend]]</f>
        <v>5.383809523809524</v>
      </c>
      <c r="J292" s="2">
        <f>Table1[[#This Row],[Marketing_Spend]]/Table1[[#This Row],[Web_Traffic]]</f>
        <v>0.17647058823529413</v>
      </c>
    </row>
    <row r="293" spans="1:10" x14ac:dyDescent="0.3">
      <c r="A293" s="1">
        <v>45803</v>
      </c>
      <c r="B293" t="s">
        <v>9</v>
      </c>
      <c r="C293" t="s">
        <v>10</v>
      </c>
      <c r="D293">
        <v>5550</v>
      </c>
      <c r="E293">
        <v>277</v>
      </c>
      <c r="F293">
        <v>1350</v>
      </c>
      <c r="G293">
        <v>6950</v>
      </c>
      <c r="H293">
        <f xml:space="preserve"> Table1[[#This Row],[Gross_Revenue]]-Table1[[#This Row],[Refunds]]</f>
        <v>5273</v>
      </c>
      <c r="I293" s="2">
        <f xml:space="preserve"> Table1[[#This Row],[Net Revenue]]/Table1[[#This Row],[Marketing_Spend]]</f>
        <v>3.905925925925926</v>
      </c>
      <c r="J293" s="2">
        <f>Table1[[#This Row],[Marketing_Spend]]/Table1[[#This Row],[Web_Traffic]]</f>
        <v>0.19424460431654678</v>
      </c>
    </row>
    <row r="294" spans="1:10" x14ac:dyDescent="0.3">
      <c r="A294" s="1">
        <v>45804</v>
      </c>
      <c r="B294" t="s">
        <v>7</v>
      </c>
      <c r="C294" t="s">
        <v>8</v>
      </c>
      <c r="D294">
        <v>6000</v>
      </c>
      <c r="E294">
        <v>300</v>
      </c>
      <c r="F294">
        <v>1060</v>
      </c>
      <c r="G294">
        <v>6000</v>
      </c>
      <c r="H294">
        <f xml:space="preserve"> Table1[[#This Row],[Gross_Revenue]]-Table1[[#This Row],[Refunds]]</f>
        <v>5700</v>
      </c>
      <c r="I294" s="2">
        <f xml:space="preserve"> Table1[[#This Row],[Net Revenue]]/Table1[[#This Row],[Marketing_Spend]]</f>
        <v>5.3773584905660377</v>
      </c>
      <c r="J294" s="2">
        <f>Table1[[#This Row],[Marketing_Spend]]/Table1[[#This Row],[Web_Traffic]]</f>
        <v>0.17666666666666667</v>
      </c>
    </row>
    <row r="295" spans="1:10" x14ac:dyDescent="0.3">
      <c r="A295" s="1">
        <v>45804</v>
      </c>
      <c r="B295" t="s">
        <v>9</v>
      </c>
      <c r="C295" t="s">
        <v>10</v>
      </c>
      <c r="D295">
        <v>5600</v>
      </c>
      <c r="E295">
        <v>280</v>
      </c>
      <c r="F295">
        <v>1360</v>
      </c>
      <c r="G295">
        <v>7000</v>
      </c>
      <c r="H295">
        <f xml:space="preserve"> Table1[[#This Row],[Gross_Revenue]]-Table1[[#This Row],[Refunds]]</f>
        <v>5320</v>
      </c>
      <c r="I295" s="2">
        <f xml:space="preserve"> Table1[[#This Row],[Net Revenue]]/Table1[[#This Row],[Marketing_Spend]]</f>
        <v>3.9117647058823528</v>
      </c>
      <c r="J295" s="2">
        <f>Table1[[#This Row],[Marketing_Spend]]/Table1[[#This Row],[Web_Traffic]]</f>
        <v>0.19428571428571428</v>
      </c>
    </row>
    <row r="296" spans="1:10" x14ac:dyDescent="0.3">
      <c r="A296" s="1">
        <v>45805</v>
      </c>
      <c r="B296" t="s">
        <v>7</v>
      </c>
      <c r="C296" t="s">
        <v>8</v>
      </c>
      <c r="D296">
        <v>6050</v>
      </c>
      <c r="E296">
        <v>302</v>
      </c>
      <c r="F296">
        <v>1070</v>
      </c>
      <c r="G296">
        <v>6050</v>
      </c>
      <c r="H296">
        <f xml:space="preserve"> Table1[[#This Row],[Gross_Revenue]]-Table1[[#This Row],[Refunds]]</f>
        <v>5748</v>
      </c>
      <c r="I296" s="2">
        <f xml:space="preserve"> Table1[[#This Row],[Net Revenue]]/Table1[[#This Row],[Marketing_Spend]]</f>
        <v>5.3719626168224295</v>
      </c>
      <c r="J296" s="2">
        <f>Table1[[#This Row],[Marketing_Spend]]/Table1[[#This Row],[Web_Traffic]]</f>
        <v>0.17685950413223139</v>
      </c>
    </row>
    <row r="297" spans="1:10" x14ac:dyDescent="0.3">
      <c r="A297" s="1">
        <v>45805</v>
      </c>
      <c r="B297" t="s">
        <v>9</v>
      </c>
      <c r="C297" t="s">
        <v>10</v>
      </c>
      <c r="D297">
        <v>5650</v>
      </c>
      <c r="E297">
        <v>282</v>
      </c>
      <c r="F297">
        <v>1370</v>
      </c>
      <c r="G297">
        <v>7050</v>
      </c>
      <c r="H297">
        <f xml:space="preserve"> Table1[[#This Row],[Gross_Revenue]]-Table1[[#This Row],[Refunds]]</f>
        <v>5368</v>
      </c>
      <c r="I297" s="2">
        <f xml:space="preserve"> Table1[[#This Row],[Net Revenue]]/Table1[[#This Row],[Marketing_Spend]]</f>
        <v>3.9182481751824816</v>
      </c>
      <c r="J297" s="2">
        <f>Table1[[#This Row],[Marketing_Spend]]/Table1[[#This Row],[Web_Traffic]]</f>
        <v>0.19432624113475178</v>
      </c>
    </row>
    <row r="298" spans="1:10" x14ac:dyDescent="0.3">
      <c r="A298" s="1">
        <v>45806</v>
      </c>
      <c r="B298" t="s">
        <v>7</v>
      </c>
      <c r="C298" t="s">
        <v>8</v>
      </c>
      <c r="D298">
        <v>6100</v>
      </c>
      <c r="E298">
        <v>305</v>
      </c>
      <c r="F298">
        <v>1080</v>
      </c>
      <c r="G298">
        <v>6100</v>
      </c>
      <c r="H298">
        <f xml:space="preserve"> Table1[[#This Row],[Gross_Revenue]]-Table1[[#This Row],[Refunds]]</f>
        <v>5795</v>
      </c>
      <c r="I298" s="2">
        <f xml:space="preserve"> Table1[[#This Row],[Net Revenue]]/Table1[[#This Row],[Marketing_Spend]]</f>
        <v>5.3657407407407405</v>
      </c>
      <c r="J298" s="2">
        <f>Table1[[#This Row],[Marketing_Spend]]/Table1[[#This Row],[Web_Traffic]]</f>
        <v>0.17704918032786884</v>
      </c>
    </row>
    <row r="299" spans="1:10" x14ac:dyDescent="0.3">
      <c r="A299" s="1">
        <v>45806</v>
      </c>
      <c r="B299" t="s">
        <v>9</v>
      </c>
      <c r="C299" t="s">
        <v>10</v>
      </c>
      <c r="D299">
        <v>5700</v>
      </c>
      <c r="E299">
        <v>285</v>
      </c>
      <c r="F299">
        <v>1380</v>
      </c>
      <c r="G299">
        <v>7100</v>
      </c>
      <c r="H299">
        <f xml:space="preserve"> Table1[[#This Row],[Gross_Revenue]]-Table1[[#This Row],[Refunds]]</f>
        <v>5415</v>
      </c>
      <c r="I299" s="2">
        <f xml:space="preserve"> Table1[[#This Row],[Net Revenue]]/Table1[[#This Row],[Marketing_Spend]]</f>
        <v>3.9239130434782608</v>
      </c>
      <c r="J299" s="2">
        <f>Table1[[#This Row],[Marketing_Spend]]/Table1[[#This Row],[Web_Traffic]]</f>
        <v>0.19436619718309858</v>
      </c>
    </row>
    <row r="300" spans="1:10" x14ac:dyDescent="0.3">
      <c r="A300" s="1">
        <v>45807</v>
      </c>
      <c r="B300" t="s">
        <v>7</v>
      </c>
      <c r="C300" t="s">
        <v>8</v>
      </c>
      <c r="D300">
        <v>6150</v>
      </c>
      <c r="E300">
        <v>307</v>
      </c>
      <c r="F300">
        <v>1090</v>
      </c>
      <c r="G300">
        <v>6150</v>
      </c>
      <c r="H300">
        <f xml:space="preserve"> Table1[[#This Row],[Gross_Revenue]]-Table1[[#This Row],[Refunds]]</f>
        <v>5843</v>
      </c>
      <c r="I300" s="2">
        <f xml:space="preserve"> Table1[[#This Row],[Net Revenue]]/Table1[[#This Row],[Marketing_Spend]]</f>
        <v>5.3605504587155961</v>
      </c>
      <c r="J300" s="2">
        <f>Table1[[#This Row],[Marketing_Spend]]/Table1[[#This Row],[Web_Traffic]]</f>
        <v>0.17723577235772359</v>
      </c>
    </row>
    <row r="301" spans="1:10" x14ac:dyDescent="0.3">
      <c r="A301" s="1">
        <v>45807</v>
      </c>
      <c r="B301" t="s">
        <v>9</v>
      </c>
      <c r="C301" t="s">
        <v>10</v>
      </c>
      <c r="D301">
        <v>5750</v>
      </c>
      <c r="E301">
        <v>287</v>
      </c>
      <c r="F301">
        <v>1390</v>
      </c>
      <c r="G301">
        <v>7150</v>
      </c>
      <c r="H301">
        <f xml:space="preserve"> Table1[[#This Row],[Gross_Revenue]]-Table1[[#This Row],[Refunds]]</f>
        <v>5463</v>
      </c>
      <c r="I301" s="2">
        <f xml:space="preserve"> Table1[[#This Row],[Net Revenue]]/Table1[[#This Row],[Marketing_Spend]]</f>
        <v>3.9302158273381296</v>
      </c>
      <c r="J301" s="2">
        <f>Table1[[#This Row],[Marketing_Spend]]/Table1[[#This Row],[Web_Traffic]]</f>
        <v>0.19440559440559441</v>
      </c>
    </row>
    <row r="302" spans="1:10" x14ac:dyDescent="0.3">
      <c r="A302" s="1">
        <v>45808</v>
      </c>
      <c r="B302" t="s">
        <v>7</v>
      </c>
      <c r="C302" t="s">
        <v>8</v>
      </c>
      <c r="D302">
        <v>6200</v>
      </c>
      <c r="E302">
        <v>310</v>
      </c>
      <c r="F302">
        <v>1100</v>
      </c>
      <c r="G302">
        <v>6200</v>
      </c>
      <c r="H302">
        <f xml:space="preserve"> Table1[[#This Row],[Gross_Revenue]]-Table1[[#This Row],[Refunds]]</f>
        <v>5890</v>
      </c>
      <c r="I302" s="2">
        <f xml:space="preserve"> Table1[[#This Row],[Net Revenue]]/Table1[[#This Row],[Marketing_Spend]]</f>
        <v>5.3545454545454545</v>
      </c>
      <c r="J302" s="2">
        <f>Table1[[#This Row],[Marketing_Spend]]/Table1[[#This Row],[Web_Traffic]]</f>
        <v>0.17741935483870969</v>
      </c>
    </row>
    <row r="303" spans="1:10" x14ac:dyDescent="0.3">
      <c r="A303" s="1">
        <v>45808</v>
      </c>
      <c r="B303" t="s">
        <v>9</v>
      </c>
      <c r="C303" t="s">
        <v>10</v>
      </c>
      <c r="D303">
        <v>5800</v>
      </c>
      <c r="E303">
        <v>290</v>
      </c>
      <c r="F303">
        <v>1400</v>
      </c>
      <c r="G303">
        <v>7200</v>
      </c>
      <c r="H303">
        <f xml:space="preserve"> Table1[[#This Row],[Gross_Revenue]]-Table1[[#This Row],[Refunds]]</f>
        <v>5510</v>
      </c>
      <c r="I303" s="2">
        <f xml:space="preserve"> Table1[[#This Row],[Net Revenue]]/Table1[[#This Row],[Marketing_Spend]]</f>
        <v>3.9357142857142855</v>
      </c>
      <c r="J303" s="2">
        <f>Table1[[#This Row],[Marketing_Spend]]/Table1[[#This Row],[Web_Traffic]]</f>
        <v>0.19444444444444445</v>
      </c>
    </row>
    <row r="304" spans="1:10" x14ac:dyDescent="0.3">
      <c r="A304" s="1">
        <v>45809</v>
      </c>
      <c r="B304" t="s">
        <v>7</v>
      </c>
      <c r="C304" t="s">
        <v>8</v>
      </c>
      <c r="D304">
        <v>6000</v>
      </c>
      <c r="E304">
        <v>300</v>
      </c>
      <c r="F304">
        <v>1000</v>
      </c>
      <c r="G304">
        <v>6000</v>
      </c>
      <c r="H304">
        <f xml:space="preserve"> Table1[[#This Row],[Gross_Revenue]]-Table1[[#This Row],[Refunds]]</f>
        <v>5700</v>
      </c>
      <c r="I304" s="2">
        <f xml:space="preserve"> Table1[[#This Row],[Net Revenue]]/Table1[[#This Row],[Marketing_Spend]]</f>
        <v>5.7</v>
      </c>
      <c r="J304" s="2">
        <f>Table1[[#This Row],[Marketing_Spend]]/Table1[[#This Row],[Web_Traffic]]</f>
        <v>0.16666666666666666</v>
      </c>
    </row>
    <row r="305" spans="1:10" x14ac:dyDescent="0.3">
      <c r="A305" s="1">
        <v>45809</v>
      </c>
      <c r="B305" t="s">
        <v>9</v>
      </c>
      <c r="C305" t="s">
        <v>10</v>
      </c>
      <c r="D305">
        <v>5600</v>
      </c>
      <c r="E305">
        <v>280</v>
      </c>
      <c r="F305">
        <v>1300</v>
      </c>
      <c r="G305">
        <v>7000</v>
      </c>
      <c r="H305">
        <f xml:space="preserve"> Table1[[#This Row],[Gross_Revenue]]-Table1[[#This Row],[Refunds]]</f>
        <v>5320</v>
      </c>
      <c r="I305" s="2">
        <f xml:space="preserve"> Table1[[#This Row],[Net Revenue]]/Table1[[#This Row],[Marketing_Spend]]</f>
        <v>4.092307692307692</v>
      </c>
      <c r="J305" s="2">
        <f>Table1[[#This Row],[Marketing_Spend]]/Table1[[#This Row],[Web_Traffic]]</f>
        <v>0.18571428571428572</v>
      </c>
    </row>
    <row r="306" spans="1:10" x14ac:dyDescent="0.3">
      <c r="A306" s="1">
        <v>45810</v>
      </c>
      <c r="B306" t="s">
        <v>7</v>
      </c>
      <c r="C306" t="s">
        <v>8</v>
      </c>
      <c r="D306">
        <v>6050</v>
      </c>
      <c r="E306">
        <v>302</v>
      </c>
      <c r="F306">
        <v>1010</v>
      </c>
      <c r="G306">
        <v>6050</v>
      </c>
      <c r="H306">
        <f xml:space="preserve"> Table1[[#This Row],[Gross_Revenue]]-Table1[[#This Row],[Refunds]]</f>
        <v>5748</v>
      </c>
      <c r="I306" s="2">
        <f xml:space="preserve"> Table1[[#This Row],[Net Revenue]]/Table1[[#This Row],[Marketing_Spend]]</f>
        <v>5.6910891089108908</v>
      </c>
      <c r="J306" s="2">
        <f>Table1[[#This Row],[Marketing_Spend]]/Table1[[#This Row],[Web_Traffic]]</f>
        <v>0.16694214876033059</v>
      </c>
    </row>
    <row r="307" spans="1:10" x14ac:dyDescent="0.3">
      <c r="A307" s="1">
        <v>45810</v>
      </c>
      <c r="B307" t="s">
        <v>9</v>
      </c>
      <c r="C307" t="s">
        <v>10</v>
      </c>
      <c r="D307">
        <v>5650</v>
      </c>
      <c r="E307">
        <v>282</v>
      </c>
      <c r="F307">
        <v>1310</v>
      </c>
      <c r="G307">
        <v>7050</v>
      </c>
      <c r="H307">
        <f xml:space="preserve"> Table1[[#This Row],[Gross_Revenue]]-Table1[[#This Row],[Refunds]]</f>
        <v>5368</v>
      </c>
      <c r="I307" s="2">
        <f xml:space="preserve"> Table1[[#This Row],[Net Revenue]]/Table1[[#This Row],[Marketing_Spend]]</f>
        <v>4.0977099236641221</v>
      </c>
      <c r="J307" s="2">
        <f>Table1[[#This Row],[Marketing_Spend]]/Table1[[#This Row],[Web_Traffic]]</f>
        <v>0.18581560283687942</v>
      </c>
    </row>
    <row r="308" spans="1:10" x14ac:dyDescent="0.3">
      <c r="A308" s="1">
        <v>45811</v>
      </c>
      <c r="B308" t="s">
        <v>7</v>
      </c>
      <c r="C308" t="s">
        <v>8</v>
      </c>
      <c r="D308">
        <v>6100</v>
      </c>
      <c r="E308">
        <v>305</v>
      </c>
      <c r="F308">
        <v>1020</v>
      </c>
      <c r="G308">
        <v>6100</v>
      </c>
      <c r="H308">
        <f xml:space="preserve"> Table1[[#This Row],[Gross_Revenue]]-Table1[[#This Row],[Refunds]]</f>
        <v>5795</v>
      </c>
      <c r="I308" s="2">
        <f xml:space="preserve"> Table1[[#This Row],[Net Revenue]]/Table1[[#This Row],[Marketing_Spend]]</f>
        <v>5.6813725490196081</v>
      </c>
      <c r="J308" s="2">
        <f>Table1[[#This Row],[Marketing_Spend]]/Table1[[#This Row],[Web_Traffic]]</f>
        <v>0.16721311475409836</v>
      </c>
    </row>
    <row r="309" spans="1:10" x14ac:dyDescent="0.3">
      <c r="A309" s="1">
        <v>45811</v>
      </c>
      <c r="B309" t="s">
        <v>9</v>
      </c>
      <c r="C309" t="s">
        <v>10</v>
      </c>
      <c r="D309">
        <v>5700</v>
      </c>
      <c r="E309">
        <v>285</v>
      </c>
      <c r="F309">
        <v>1320</v>
      </c>
      <c r="G309">
        <v>7100</v>
      </c>
      <c r="H309">
        <f xml:space="preserve"> Table1[[#This Row],[Gross_Revenue]]-Table1[[#This Row],[Refunds]]</f>
        <v>5415</v>
      </c>
      <c r="I309" s="2">
        <f xml:space="preserve"> Table1[[#This Row],[Net Revenue]]/Table1[[#This Row],[Marketing_Spend]]</f>
        <v>4.1022727272727275</v>
      </c>
      <c r="J309" s="2">
        <f>Table1[[#This Row],[Marketing_Spend]]/Table1[[#This Row],[Web_Traffic]]</f>
        <v>0.18591549295774648</v>
      </c>
    </row>
    <row r="310" spans="1:10" x14ac:dyDescent="0.3">
      <c r="A310" s="1">
        <v>45812</v>
      </c>
      <c r="B310" t="s">
        <v>7</v>
      </c>
      <c r="C310" t="s">
        <v>8</v>
      </c>
      <c r="D310">
        <v>6150</v>
      </c>
      <c r="E310">
        <v>307</v>
      </c>
      <c r="F310">
        <v>1030</v>
      </c>
      <c r="G310">
        <v>6150</v>
      </c>
      <c r="H310">
        <f xml:space="preserve"> Table1[[#This Row],[Gross_Revenue]]-Table1[[#This Row],[Refunds]]</f>
        <v>5843</v>
      </c>
      <c r="I310" s="2">
        <f xml:space="preserve"> Table1[[#This Row],[Net Revenue]]/Table1[[#This Row],[Marketing_Spend]]</f>
        <v>5.6728155339805824</v>
      </c>
      <c r="J310" s="2">
        <f>Table1[[#This Row],[Marketing_Spend]]/Table1[[#This Row],[Web_Traffic]]</f>
        <v>0.16747967479674797</v>
      </c>
    </row>
    <row r="311" spans="1:10" x14ac:dyDescent="0.3">
      <c r="A311" s="1">
        <v>45812</v>
      </c>
      <c r="B311" t="s">
        <v>9</v>
      </c>
      <c r="C311" t="s">
        <v>10</v>
      </c>
      <c r="D311">
        <v>5750</v>
      </c>
      <c r="E311">
        <v>287</v>
      </c>
      <c r="F311">
        <v>1330</v>
      </c>
      <c r="G311">
        <v>7150</v>
      </c>
      <c r="H311">
        <f xml:space="preserve"> Table1[[#This Row],[Gross_Revenue]]-Table1[[#This Row],[Refunds]]</f>
        <v>5463</v>
      </c>
      <c r="I311" s="2">
        <f xml:space="preserve"> Table1[[#This Row],[Net Revenue]]/Table1[[#This Row],[Marketing_Spend]]</f>
        <v>4.1075187969924816</v>
      </c>
      <c r="J311" s="2">
        <f>Table1[[#This Row],[Marketing_Spend]]/Table1[[#This Row],[Web_Traffic]]</f>
        <v>0.18601398601398603</v>
      </c>
    </row>
    <row r="312" spans="1:10" x14ac:dyDescent="0.3">
      <c r="A312" s="1">
        <v>45813</v>
      </c>
      <c r="B312" t="s">
        <v>7</v>
      </c>
      <c r="C312" t="s">
        <v>8</v>
      </c>
      <c r="D312">
        <v>6200</v>
      </c>
      <c r="E312">
        <v>310</v>
      </c>
      <c r="F312">
        <v>1040</v>
      </c>
      <c r="G312">
        <v>6200</v>
      </c>
      <c r="H312">
        <f xml:space="preserve"> Table1[[#This Row],[Gross_Revenue]]-Table1[[#This Row],[Refunds]]</f>
        <v>5890</v>
      </c>
      <c r="I312" s="2">
        <f xml:space="preserve"> Table1[[#This Row],[Net Revenue]]/Table1[[#This Row],[Marketing_Spend]]</f>
        <v>5.6634615384615383</v>
      </c>
      <c r="J312" s="2">
        <f>Table1[[#This Row],[Marketing_Spend]]/Table1[[#This Row],[Web_Traffic]]</f>
        <v>0.16774193548387098</v>
      </c>
    </row>
    <row r="313" spans="1:10" x14ac:dyDescent="0.3">
      <c r="A313" s="1">
        <v>45813</v>
      </c>
      <c r="B313" t="s">
        <v>9</v>
      </c>
      <c r="C313" t="s">
        <v>10</v>
      </c>
      <c r="D313">
        <v>5800</v>
      </c>
      <c r="E313">
        <v>290</v>
      </c>
      <c r="F313">
        <v>1340</v>
      </c>
      <c r="G313">
        <v>7200</v>
      </c>
      <c r="H313">
        <f xml:space="preserve"> Table1[[#This Row],[Gross_Revenue]]-Table1[[#This Row],[Refunds]]</f>
        <v>5510</v>
      </c>
      <c r="I313" s="2">
        <f xml:space="preserve"> Table1[[#This Row],[Net Revenue]]/Table1[[#This Row],[Marketing_Spend]]</f>
        <v>4.1119402985074629</v>
      </c>
      <c r="J313" s="2">
        <f>Table1[[#This Row],[Marketing_Spend]]/Table1[[#This Row],[Web_Traffic]]</f>
        <v>0.18611111111111112</v>
      </c>
    </row>
    <row r="314" spans="1:10" x14ac:dyDescent="0.3">
      <c r="A314" s="1">
        <v>45814</v>
      </c>
      <c r="B314" t="s">
        <v>7</v>
      </c>
      <c r="C314" t="s">
        <v>8</v>
      </c>
      <c r="D314">
        <v>6250</v>
      </c>
      <c r="E314">
        <v>312</v>
      </c>
      <c r="F314">
        <v>1050</v>
      </c>
      <c r="G314">
        <v>6250</v>
      </c>
      <c r="H314">
        <f xml:space="preserve"> Table1[[#This Row],[Gross_Revenue]]-Table1[[#This Row],[Refunds]]</f>
        <v>5938</v>
      </c>
      <c r="I314" s="2">
        <f xml:space="preserve"> Table1[[#This Row],[Net Revenue]]/Table1[[#This Row],[Marketing_Spend]]</f>
        <v>5.6552380952380954</v>
      </c>
      <c r="J314" s="2">
        <f>Table1[[#This Row],[Marketing_Spend]]/Table1[[#This Row],[Web_Traffic]]</f>
        <v>0.16800000000000001</v>
      </c>
    </row>
    <row r="315" spans="1:10" x14ac:dyDescent="0.3">
      <c r="A315" s="1">
        <v>45814</v>
      </c>
      <c r="B315" t="s">
        <v>9</v>
      </c>
      <c r="C315" t="s">
        <v>10</v>
      </c>
      <c r="D315">
        <v>5850</v>
      </c>
      <c r="E315">
        <v>292</v>
      </c>
      <c r="F315">
        <v>1350</v>
      </c>
      <c r="G315">
        <v>7250</v>
      </c>
      <c r="H315">
        <f xml:space="preserve"> Table1[[#This Row],[Gross_Revenue]]-Table1[[#This Row],[Refunds]]</f>
        <v>5558</v>
      </c>
      <c r="I315" s="2">
        <f xml:space="preserve"> Table1[[#This Row],[Net Revenue]]/Table1[[#This Row],[Marketing_Spend]]</f>
        <v>4.1170370370370373</v>
      </c>
      <c r="J315" s="2">
        <f>Table1[[#This Row],[Marketing_Spend]]/Table1[[#This Row],[Web_Traffic]]</f>
        <v>0.18620689655172415</v>
      </c>
    </row>
    <row r="316" spans="1:10" x14ac:dyDescent="0.3">
      <c r="A316" s="1">
        <v>45815</v>
      </c>
      <c r="B316" t="s">
        <v>7</v>
      </c>
      <c r="C316" t="s">
        <v>8</v>
      </c>
      <c r="D316">
        <v>6300</v>
      </c>
      <c r="E316">
        <v>315</v>
      </c>
      <c r="F316">
        <v>1060</v>
      </c>
      <c r="G316">
        <v>6300</v>
      </c>
      <c r="H316">
        <f xml:space="preserve"> Table1[[#This Row],[Gross_Revenue]]-Table1[[#This Row],[Refunds]]</f>
        <v>5985</v>
      </c>
      <c r="I316" s="2">
        <f xml:space="preserve"> Table1[[#This Row],[Net Revenue]]/Table1[[#This Row],[Marketing_Spend]]</f>
        <v>5.6462264150943398</v>
      </c>
      <c r="J316" s="2">
        <f>Table1[[#This Row],[Marketing_Spend]]/Table1[[#This Row],[Web_Traffic]]</f>
        <v>0.16825396825396827</v>
      </c>
    </row>
    <row r="317" spans="1:10" x14ac:dyDescent="0.3">
      <c r="A317" s="1">
        <v>45815</v>
      </c>
      <c r="B317" t="s">
        <v>9</v>
      </c>
      <c r="C317" t="s">
        <v>10</v>
      </c>
      <c r="D317">
        <v>5900</v>
      </c>
      <c r="E317">
        <v>295</v>
      </c>
      <c r="F317">
        <v>1360</v>
      </c>
      <c r="G317">
        <v>7300</v>
      </c>
      <c r="H317">
        <f xml:space="preserve"> Table1[[#This Row],[Gross_Revenue]]-Table1[[#This Row],[Refunds]]</f>
        <v>5605</v>
      </c>
      <c r="I317" s="2">
        <f xml:space="preserve"> Table1[[#This Row],[Net Revenue]]/Table1[[#This Row],[Marketing_Spend]]</f>
        <v>4.1213235294117645</v>
      </c>
      <c r="J317" s="2">
        <f>Table1[[#This Row],[Marketing_Spend]]/Table1[[#This Row],[Web_Traffic]]</f>
        <v>0.18630136986301371</v>
      </c>
    </row>
    <row r="318" spans="1:10" x14ac:dyDescent="0.3">
      <c r="A318" s="1">
        <v>45816</v>
      </c>
      <c r="B318" t="s">
        <v>7</v>
      </c>
      <c r="C318" t="s">
        <v>8</v>
      </c>
      <c r="D318">
        <v>6350</v>
      </c>
      <c r="E318">
        <v>317</v>
      </c>
      <c r="F318">
        <v>1070</v>
      </c>
      <c r="G318">
        <v>6350</v>
      </c>
      <c r="H318">
        <f xml:space="preserve"> Table1[[#This Row],[Gross_Revenue]]-Table1[[#This Row],[Refunds]]</f>
        <v>6033</v>
      </c>
      <c r="I318" s="2">
        <f xml:space="preserve"> Table1[[#This Row],[Net Revenue]]/Table1[[#This Row],[Marketing_Spend]]</f>
        <v>5.6383177570093457</v>
      </c>
      <c r="J318" s="2">
        <f>Table1[[#This Row],[Marketing_Spend]]/Table1[[#This Row],[Web_Traffic]]</f>
        <v>0.16850393700787403</v>
      </c>
    </row>
    <row r="319" spans="1:10" x14ac:dyDescent="0.3">
      <c r="A319" s="1">
        <v>45816</v>
      </c>
      <c r="B319" t="s">
        <v>9</v>
      </c>
      <c r="C319" t="s">
        <v>10</v>
      </c>
      <c r="D319">
        <v>5950</v>
      </c>
      <c r="E319">
        <v>297</v>
      </c>
      <c r="F319">
        <v>1370</v>
      </c>
      <c r="G319">
        <v>7350</v>
      </c>
      <c r="H319">
        <f xml:space="preserve"> Table1[[#This Row],[Gross_Revenue]]-Table1[[#This Row],[Refunds]]</f>
        <v>5653</v>
      </c>
      <c r="I319" s="2">
        <f xml:space="preserve"> Table1[[#This Row],[Net Revenue]]/Table1[[#This Row],[Marketing_Spend]]</f>
        <v>4.1262773722627735</v>
      </c>
      <c r="J319" s="2">
        <f>Table1[[#This Row],[Marketing_Spend]]/Table1[[#This Row],[Web_Traffic]]</f>
        <v>0.18639455782312925</v>
      </c>
    </row>
    <row r="320" spans="1:10" x14ac:dyDescent="0.3">
      <c r="A320" s="1">
        <v>45817</v>
      </c>
      <c r="B320" t="s">
        <v>7</v>
      </c>
      <c r="C320" t="s">
        <v>8</v>
      </c>
      <c r="D320">
        <v>6400</v>
      </c>
      <c r="E320">
        <v>320</v>
      </c>
      <c r="F320">
        <v>1080</v>
      </c>
      <c r="G320">
        <v>6400</v>
      </c>
      <c r="H320">
        <f xml:space="preserve"> Table1[[#This Row],[Gross_Revenue]]-Table1[[#This Row],[Refunds]]</f>
        <v>6080</v>
      </c>
      <c r="I320" s="2">
        <f xml:space="preserve"> Table1[[#This Row],[Net Revenue]]/Table1[[#This Row],[Marketing_Spend]]</f>
        <v>5.6296296296296298</v>
      </c>
      <c r="J320" s="2">
        <f>Table1[[#This Row],[Marketing_Spend]]/Table1[[#This Row],[Web_Traffic]]</f>
        <v>0.16875000000000001</v>
      </c>
    </row>
    <row r="321" spans="1:10" x14ac:dyDescent="0.3">
      <c r="A321" s="1">
        <v>45817</v>
      </c>
      <c r="B321" t="s">
        <v>9</v>
      </c>
      <c r="C321" t="s">
        <v>10</v>
      </c>
      <c r="D321">
        <v>6000</v>
      </c>
      <c r="E321">
        <v>300</v>
      </c>
      <c r="F321">
        <v>1380</v>
      </c>
      <c r="G321">
        <v>7400</v>
      </c>
      <c r="H321">
        <f xml:space="preserve"> Table1[[#This Row],[Gross_Revenue]]-Table1[[#This Row],[Refunds]]</f>
        <v>5700</v>
      </c>
      <c r="I321" s="2">
        <f xml:space="preserve"> Table1[[#This Row],[Net Revenue]]/Table1[[#This Row],[Marketing_Spend]]</f>
        <v>4.1304347826086953</v>
      </c>
      <c r="J321" s="2">
        <f>Table1[[#This Row],[Marketing_Spend]]/Table1[[#This Row],[Web_Traffic]]</f>
        <v>0.1864864864864865</v>
      </c>
    </row>
    <row r="322" spans="1:10" x14ac:dyDescent="0.3">
      <c r="A322" s="1">
        <v>45818</v>
      </c>
      <c r="B322" t="s">
        <v>7</v>
      </c>
      <c r="C322" t="s">
        <v>8</v>
      </c>
      <c r="D322">
        <v>6450</v>
      </c>
      <c r="E322">
        <v>322</v>
      </c>
      <c r="F322">
        <v>1090</v>
      </c>
      <c r="G322">
        <v>6450</v>
      </c>
      <c r="H322">
        <f xml:space="preserve"> Table1[[#This Row],[Gross_Revenue]]-Table1[[#This Row],[Refunds]]</f>
        <v>6128</v>
      </c>
      <c r="I322" s="2">
        <f xml:space="preserve"> Table1[[#This Row],[Net Revenue]]/Table1[[#This Row],[Marketing_Spend]]</f>
        <v>5.6220183486238531</v>
      </c>
      <c r="J322" s="2">
        <f>Table1[[#This Row],[Marketing_Spend]]/Table1[[#This Row],[Web_Traffic]]</f>
        <v>0.16899224806201552</v>
      </c>
    </row>
    <row r="323" spans="1:10" x14ac:dyDescent="0.3">
      <c r="A323" s="1">
        <v>45818</v>
      </c>
      <c r="B323" t="s">
        <v>9</v>
      </c>
      <c r="C323" t="s">
        <v>10</v>
      </c>
      <c r="D323">
        <v>6050</v>
      </c>
      <c r="E323">
        <v>302</v>
      </c>
      <c r="F323">
        <v>1390</v>
      </c>
      <c r="G323">
        <v>7450</v>
      </c>
      <c r="H323">
        <f xml:space="preserve"> Table1[[#This Row],[Gross_Revenue]]-Table1[[#This Row],[Refunds]]</f>
        <v>5748</v>
      </c>
      <c r="I323" s="2">
        <f xml:space="preserve"> Table1[[#This Row],[Net Revenue]]/Table1[[#This Row],[Marketing_Spend]]</f>
        <v>4.1352517985611508</v>
      </c>
      <c r="J323" s="2">
        <f>Table1[[#This Row],[Marketing_Spend]]/Table1[[#This Row],[Web_Traffic]]</f>
        <v>0.18657718120805369</v>
      </c>
    </row>
    <row r="324" spans="1:10" x14ac:dyDescent="0.3">
      <c r="A324" s="1">
        <v>45819</v>
      </c>
      <c r="B324" t="s">
        <v>7</v>
      </c>
      <c r="C324" t="s">
        <v>8</v>
      </c>
      <c r="D324">
        <v>6500</v>
      </c>
      <c r="E324">
        <v>325</v>
      </c>
      <c r="F324">
        <v>1100</v>
      </c>
      <c r="G324">
        <v>6500</v>
      </c>
      <c r="H324">
        <f xml:space="preserve"> Table1[[#This Row],[Gross_Revenue]]-Table1[[#This Row],[Refunds]]</f>
        <v>6175</v>
      </c>
      <c r="I324" s="2">
        <f xml:space="preserve"> Table1[[#This Row],[Net Revenue]]/Table1[[#This Row],[Marketing_Spend]]</f>
        <v>5.6136363636363633</v>
      </c>
      <c r="J324" s="2">
        <f>Table1[[#This Row],[Marketing_Spend]]/Table1[[#This Row],[Web_Traffic]]</f>
        <v>0.16923076923076924</v>
      </c>
    </row>
    <row r="325" spans="1:10" x14ac:dyDescent="0.3">
      <c r="A325" s="1">
        <v>45819</v>
      </c>
      <c r="B325" t="s">
        <v>9</v>
      </c>
      <c r="C325" t="s">
        <v>10</v>
      </c>
      <c r="D325">
        <v>6100</v>
      </c>
      <c r="E325">
        <v>305</v>
      </c>
      <c r="F325">
        <v>1400</v>
      </c>
      <c r="G325">
        <v>7500</v>
      </c>
      <c r="H325">
        <f xml:space="preserve"> Table1[[#This Row],[Gross_Revenue]]-Table1[[#This Row],[Refunds]]</f>
        <v>5795</v>
      </c>
      <c r="I325" s="2">
        <f xml:space="preserve"> Table1[[#This Row],[Net Revenue]]/Table1[[#This Row],[Marketing_Spend]]</f>
        <v>4.1392857142857142</v>
      </c>
      <c r="J325" s="2">
        <f>Table1[[#This Row],[Marketing_Spend]]/Table1[[#This Row],[Web_Traffic]]</f>
        <v>0.18666666666666668</v>
      </c>
    </row>
    <row r="326" spans="1:10" x14ac:dyDescent="0.3">
      <c r="A326" s="1">
        <v>45820</v>
      </c>
      <c r="B326" t="s">
        <v>7</v>
      </c>
      <c r="C326" t="s">
        <v>8</v>
      </c>
      <c r="D326">
        <v>6550</v>
      </c>
      <c r="E326">
        <v>327</v>
      </c>
      <c r="F326">
        <v>1110</v>
      </c>
      <c r="G326">
        <v>6550</v>
      </c>
      <c r="H326">
        <f xml:space="preserve"> Table1[[#This Row],[Gross_Revenue]]-Table1[[#This Row],[Refunds]]</f>
        <v>6223</v>
      </c>
      <c r="I326" s="2">
        <f xml:space="preserve"> Table1[[#This Row],[Net Revenue]]/Table1[[#This Row],[Marketing_Spend]]</f>
        <v>5.6063063063063066</v>
      </c>
      <c r="J326" s="2">
        <f>Table1[[#This Row],[Marketing_Spend]]/Table1[[#This Row],[Web_Traffic]]</f>
        <v>0.16946564885496182</v>
      </c>
    </row>
    <row r="327" spans="1:10" x14ac:dyDescent="0.3">
      <c r="A327" s="1">
        <v>45820</v>
      </c>
      <c r="B327" t="s">
        <v>9</v>
      </c>
      <c r="C327" t="s">
        <v>10</v>
      </c>
      <c r="D327">
        <v>6150</v>
      </c>
      <c r="E327">
        <v>307</v>
      </c>
      <c r="F327">
        <v>1410</v>
      </c>
      <c r="G327">
        <v>7550</v>
      </c>
      <c r="H327">
        <f xml:space="preserve"> Table1[[#This Row],[Gross_Revenue]]-Table1[[#This Row],[Refunds]]</f>
        <v>5843</v>
      </c>
      <c r="I327" s="2">
        <f xml:space="preserve"> Table1[[#This Row],[Net Revenue]]/Table1[[#This Row],[Marketing_Spend]]</f>
        <v>4.143971631205674</v>
      </c>
      <c r="J327" s="2">
        <f>Table1[[#This Row],[Marketing_Spend]]/Table1[[#This Row],[Web_Traffic]]</f>
        <v>0.18675496688741722</v>
      </c>
    </row>
    <row r="328" spans="1:10" x14ac:dyDescent="0.3">
      <c r="A328" s="1">
        <v>45821</v>
      </c>
      <c r="B328" t="s">
        <v>7</v>
      </c>
      <c r="C328" t="s">
        <v>8</v>
      </c>
      <c r="D328">
        <v>6600</v>
      </c>
      <c r="E328">
        <v>330</v>
      </c>
      <c r="F328">
        <v>1120</v>
      </c>
      <c r="G328">
        <v>6600</v>
      </c>
      <c r="H328">
        <f xml:space="preserve"> Table1[[#This Row],[Gross_Revenue]]-Table1[[#This Row],[Refunds]]</f>
        <v>6270</v>
      </c>
      <c r="I328" s="2">
        <f xml:space="preserve"> Table1[[#This Row],[Net Revenue]]/Table1[[#This Row],[Marketing_Spend]]</f>
        <v>5.5982142857142856</v>
      </c>
      <c r="J328" s="2">
        <f>Table1[[#This Row],[Marketing_Spend]]/Table1[[#This Row],[Web_Traffic]]</f>
        <v>0.16969696969696971</v>
      </c>
    </row>
    <row r="329" spans="1:10" x14ac:dyDescent="0.3">
      <c r="A329" s="1">
        <v>45821</v>
      </c>
      <c r="B329" t="s">
        <v>9</v>
      </c>
      <c r="C329" t="s">
        <v>10</v>
      </c>
      <c r="D329">
        <v>6200</v>
      </c>
      <c r="E329">
        <v>310</v>
      </c>
      <c r="F329">
        <v>1420</v>
      </c>
      <c r="G329">
        <v>7600</v>
      </c>
      <c r="H329">
        <f xml:space="preserve"> Table1[[#This Row],[Gross_Revenue]]-Table1[[#This Row],[Refunds]]</f>
        <v>5890</v>
      </c>
      <c r="I329" s="2">
        <f xml:space="preserve"> Table1[[#This Row],[Net Revenue]]/Table1[[#This Row],[Marketing_Spend]]</f>
        <v>4.147887323943662</v>
      </c>
      <c r="J329" s="2">
        <f>Table1[[#This Row],[Marketing_Spend]]/Table1[[#This Row],[Web_Traffic]]</f>
        <v>0.18684210526315789</v>
      </c>
    </row>
    <row r="330" spans="1:10" x14ac:dyDescent="0.3">
      <c r="A330" s="1">
        <v>45822</v>
      </c>
      <c r="B330" t="s">
        <v>7</v>
      </c>
      <c r="C330" t="s">
        <v>8</v>
      </c>
      <c r="D330">
        <v>6650</v>
      </c>
      <c r="E330">
        <v>332</v>
      </c>
      <c r="F330">
        <v>1130</v>
      </c>
      <c r="G330">
        <v>6650</v>
      </c>
      <c r="H330">
        <f xml:space="preserve"> Table1[[#This Row],[Gross_Revenue]]-Table1[[#This Row],[Refunds]]</f>
        <v>6318</v>
      </c>
      <c r="I330" s="2">
        <f xml:space="preserve"> Table1[[#This Row],[Net Revenue]]/Table1[[#This Row],[Marketing_Spend]]</f>
        <v>5.5911504424778764</v>
      </c>
      <c r="J330" s="2">
        <f>Table1[[#This Row],[Marketing_Spend]]/Table1[[#This Row],[Web_Traffic]]</f>
        <v>0.1699248120300752</v>
      </c>
    </row>
    <row r="331" spans="1:10" x14ac:dyDescent="0.3">
      <c r="A331" s="1">
        <v>45822</v>
      </c>
      <c r="B331" t="s">
        <v>9</v>
      </c>
      <c r="C331" t="s">
        <v>10</v>
      </c>
      <c r="D331">
        <v>6250</v>
      </c>
      <c r="E331">
        <v>312</v>
      </c>
      <c r="F331">
        <v>1430</v>
      </c>
      <c r="G331">
        <v>7650</v>
      </c>
      <c r="H331">
        <f xml:space="preserve"> Table1[[#This Row],[Gross_Revenue]]-Table1[[#This Row],[Refunds]]</f>
        <v>5938</v>
      </c>
      <c r="I331" s="2">
        <f xml:space="preserve"> Table1[[#This Row],[Net Revenue]]/Table1[[#This Row],[Marketing_Spend]]</f>
        <v>4.1524475524475521</v>
      </c>
      <c r="J331" s="2">
        <f>Table1[[#This Row],[Marketing_Spend]]/Table1[[#This Row],[Web_Traffic]]</f>
        <v>0.1869281045751634</v>
      </c>
    </row>
    <row r="332" spans="1:10" x14ac:dyDescent="0.3">
      <c r="A332" s="1">
        <v>45823</v>
      </c>
      <c r="B332" t="s">
        <v>7</v>
      </c>
      <c r="C332" t="s">
        <v>8</v>
      </c>
      <c r="D332">
        <v>5200</v>
      </c>
      <c r="E332">
        <v>4800</v>
      </c>
      <c r="F332">
        <v>700</v>
      </c>
      <c r="G332">
        <v>4500</v>
      </c>
      <c r="H332">
        <f xml:space="preserve"> Table1[[#This Row],[Gross_Revenue]]-Table1[[#This Row],[Refunds]]</f>
        <v>400</v>
      </c>
      <c r="I332" s="2">
        <f xml:space="preserve"> Table1[[#This Row],[Net Revenue]]/Table1[[#This Row],[Marketing_Spend]]</f>
        <v>0.5714285714285714</v>
      </c>
      <c r="J332" s="2">
        <f>Table1[[#This Row],[Marketing_Spend]]/Table1[[#This Row],[Web_Traffic]]</f>
        <v>0.15555555555555556</v>
      </c>
    </row>
    <row r="333" spans="1:10" x14ac:dyDescent="0.3">
      <c r="A333" s="1">
        <v>45823</v>
      </c>
      <c r="B333" t="s">
        <v>9</v>
      </c>
      <c r="C333" t="s">
        <v>10</v>
      </c>
      <c r="D333">
        <v>4900</v>
      </c>
      <c r="E333">
        <v>4200</v>
      </c>
      <c r="F333">
        <v>900</v>
      </c>
      <c r="G333">
        <v>5200</v>
      </c>
      <c r="H333">
        <f xml:space="preserve"> Table1[[#This Row],[Gross_Revenue]]-Table1[[#This Row],[Refunds]]</f>
        <v>700</v>
      </c>
      <c r="I333" s="2">
        <f xml:space="preserve"> Table1[[#This Row],[Net Revenue]]/Table1[[#This Row],[Marketing_Spend]]</f>
        <v>0.77777777777777779</v>
      </c>
      <c r="J333" s="2">
        <f>Table1[[#This Row],[Marketing_Spend]]/Table1[[#This Row],[Web_Traffic]]</f>
        <v>0.17307692307692307</v>
      </c>
    </row>
    <row r="334" spans="1:10" x14ac:dyDescent="0.3">
      <c r="A334" s="1">
        <v>45824</v>
      </c>
      <c r="B334" t="s">
        <v>7</v>
      </c>
      <c r="C334" t="s">
        <v>8</v>
      </c>
      <c r="D334">
        <v>5100</v>
      </c>
      <c r="E334">
        <v>4700</v>
      </c>
      <c r="F334">
        <v>650</v>
      </c>
      <c r="G334">
        <v>4400</v>
      </c>
      <c r="H334">
        <f xml:space="preserve"> Table1[[#This Row],[Gross_Revenue]]-Table1[[#This Row],[Refunds]]</f>
        <v>400</v>
      </c>
      <c r="I334" s="2">
        <f xml:space="preserve"> Table1[[#This Row],[Net Revenue]]/Table1[[#This Row],[Marketing_Spend]]</f>
        <v>0.61538461538461542</v>
      </c>
      <c r="J334" s="2">
        <f>Table1[[#This Row],[Marketing_Spend]]/Table1[[#This Row],[Web_Traffic]]</f>
        <v>0.14772727272727273</v>
      </c>
    </row>
    <row r="335" spans="1:10" x14ac:dyDescent="0.3">
      <c r="A335" s="1">
        <v>45824</v>
      </c>
      <c r="B335" t="s">
        <v>9</v>
      </c>
      <c r="C335" t="s">
        <v>10</v>
      </c>
      <c r="D335">
        <v>4800</v>
      </c>
      <c r="E335">
        <v>4100</v>
      </c>
      <c r="F335">
        <v>850</v>
      </c>
      <c r="G335">
        <v>5100</v>
      </c>
      <c r="H335">
        <f xml:space="preserve"> Table1[[#This Row],[Gross_Revenue]]-Table1[[#This Row],[Refunds]]</f>
        <v>700</v>
      </c>
      <c r="I335" s="2">
        <f xml:space="preserve"> Table1[[#This Row],[Net Revenue]]/Table1[[#This Row],[Marketing_Spend]]</f>
        <v>0.82352941176470584</v>
      </c>
      <c r="J335" s="2">
        <f>Table1[[#This Row],[Marketing_Spend]]/Table1[[#This Row],[Web_Traffic]]</f>
        <v>0.16666666666666666</v>
      </c>
    </row>
    <row r="336" spans="1:10" x14ac:dyDescent="0.3">
      <c r="A336" s="1">
        <v>45825</v>
      </c>
      <c r="B336" t="s">
        <v>7</v>
      </c>
      <c r="C336" t="s">
        <v>8</v>
      </c>
      <c r="D336">
        <v>5300</v>
      </c>
      <c r="E336">
        <v>4900</v>
      </c>
      <c r="F336">
        <v>720</v>
      </c>
      <c r="G336">
        <v>4600</v>
      </c>
      <c r="H336">
        <f xml:space="preserve"> Table1[[#This Row],[Gross_Revenue]]-Table1[[#This Row],[Refunds]]</f>
        <v>400</v>
      </c>
      <c r="I336" s="2">
        <f xml:space="preserve"> Table1[[#This Row],[Net Revenue]]/Table1[[#This Row],[Marketing_Spend]]</f>
        <v>0.55555555555555558</v>
      </c>
      <c r="J336" s="2">
        <f>Table1[[#This Row],[Marketing_Spend]]/Table1[[#This Row],[Web_Traffic]]</f>
        <v>0.15652173913043479</v>
      </c>
    </row>
    <row r="337" spans="1:10" x14ac:dyDescent="0.3">
      <c r="A337" s="1">
        <v>45825</v>
      </c>
      <c r="B337" t="s">
        <v>9</v>
      </c>
      <c r="C337" t="s">
        <v>10</v>
      </c>
      <c r="D337">
        <v>5000</v>
      </c>
      <c r="E337">
        <v>4300</v>
      </c>
      <c r="F337">
        <v>920</v>
      </c>
      <c r="G337">
        <v>5300</v>
      </c>
      <c r="H337">
        <f xml:space="preserve"> Table1[[#This Row],[Gross_Revenue]]-Table1[[#This Row],[Refunds]]</f>
        <v>700</v>
      </c>
      <c r="I337" s="2">
        <f xml:space="preserve"> Table1[[#This Row],[Net Revenue]]/Table1[[#This Row],[Marketing_Spend]]</f>
        <v>0.76086956521739135</v>
      </c>
      <c r="J337" s="2">
        <f>Table1[[#This Row],[Marketing_Spend]]/Table1[[#This Row],[Web_Traffic]]</f>
        <v>0.17358490566037735</v>
      </c>
    </row>
    <row r="338" spans="1:10" x14ac:dyDescent="0.3">
      <c r="A338" s="1">
        <v>45826</v>
      </c>
      <c r="B338" t="s">
        <v>7</v>
      </c>
      <c r="C338" t="s">
        <v>8</v>
      </c>
      <c r="D338">
        <v>5200</v>
      </c>
      <c r="E338">
        <v>4800</v>
      </c>
      <c r="F338">
        <v>700</v>
      </c>
      <c r="G338">
        <v>4500</v>
      </c>
      <c r="H338">
        <f xml:space="preserve"> Table1[[#This Row],[Gross_Revenue]]-Table1[[#This Row],[Refunds]]</f>
        <v>400</v>
      </c>
      <c r="I338" s="2">
        <f xml:space="preserve"> Table1[[#This Row],[Net Revenue]]/Table1[[#This Row],[Marketing_Spend]]</f>
        <v>0.5714285714285714</v>
      </c>
      <c r="J338" s="2">
        <f>Table1[[#This Row],[Marketing_Spend]]/Table1[[#This Row],[Web_Traffic]]</f>
        <v>0.15555555555555556</v>
      </c>
    </row>
    <row r="339" spans="1:10" x14ac:dyDescent="0.3">
      <c r="A339" s="1">
        <v>45826</v>
      </c>
      <c r="B339" t="s">
        <v>9</v>
      </c>
      <c r="C339" t="s">
        <v>10</v>
      </c>
      <c r="D339">
        <v>4900</v>
      </c>
      <c r="E339">
        <v>4200</v>
      </c>
      <c r="F339">
        <v>900</v>
      </c>
      <c r="G339">
        <v>5200</v>
      </c>
      <c r="H339">
        <f xml:space="preserve"> Table1[[#This Row],[Gross_Revenue]]-Table1[[#This Row],[Refunds]]</f>
        <v>700</v>
      </c>
      <c r="I339" s="2">
        <f xml:space="preserve"> Table1[[#This Row],[Net Revenue]]/Table1[[#This Row],[Marketing_Spend]]</f>
        <v>0.77777777777777779</v>
      </c>
      <c r="J339" s="2">
        <f>Table1[[#This Row],[Marketing_Spend]]/Table1[[#This Row],[Web_Traffic]]</f>
        <v>0.17307692307692307</v>
      </c>
    </row>
    <row r="340" spans="1:10" x14ac:dyDescent="0.3">
      <c r="A340" s="1">
        <v>45827</v>
      </c>
      <c r="B340" t="s">
        <v>7</v>
      </c>
      <c r="C340" t="s">
        <v>8</v>
      </c>
      <c r="D340">
        <v>5100</v>
      </c>
      <c r="E340">
        <v>4700</v>
      </c>
      <c r="F340">
        <v>650</v>
      </c>
      <c r="G340">
        <v>4400</v>
      </c>
      <c r="H340">
        <f xml:space="preserve"> Table1[[#This Row],[Gross_Revenue]]-Table1[[#This Row],[Refunds]]</f>
        <v>400</v>
      </c>
      <c r="I340" s="2">
        <f xml:space="preserve"> Table1[[#This Row],[Net Revenue]]/Table1[[#This Row],[Marketing_Spend]]</f>
        <v>0.61538461538461542</v>
      </c>
      <c r="J340" s="2">
        <f>Table1[[#This Row],[Marketing_Spend]]/Table1[[#This Row],[Web_Traffic]]</f>
        <v>0.14772727272727273</v>
      </c>
    </row>
    <row r="341" spans="1:10" x14ac:dyDescent="0.3">
      <c r="A341" s="1">
        <v>45827</v>
      </c>
      <c r="B341" t="s">
        <v>9</v>
      </c>
      <c r="C341" t="s">
        <v>10</v>
      </c>
      <c r="D341">
        <v>4800</v>
      </c>
      <c r="E341">
        <v>4100</v>
      </c>
      <c r="F341">
        <v>850</v>
      </c>
      <c r="G341">
        <v>5100</v>
      </c>
      <c r="H341">
        <f xml:space="preserve"> Table1[[#This Row],[Gross_Revenue]]-Table1[[#This Row],[Refunds]]</f>
        <v>700</v>
      </c>
      <c r="I341" s="2">
        <f xml:space="preserve"> Table1[[#This Row],[Net Revenue]]/Table1[[#This Row],[Marketing_Spend]]</f>
        <v>0.82352941176470584</v>
      </c>
      <c r="J341" s="2">
        <f>Table1[[#This Row],[Marketing_Spend]]/Table1[[#This Row],[Web_Traffic]]</f>
        <v>0.16666666666666666</v>
      </c>
    </row>
    <row r="342" spans="1:10" x14ac:dyDescent="0.3">
      <c r="A342" s="1">
        <v>45828</v>
      </c>
      <c r="B342" t="s">
        <v>7</v>
      </c>
      <c r="C342" t="s">
        <v>8</v>
      </c>
      <c r="D342">
        <v>5300</v>
      </c>
      <c r="E342">
        <v>4900</v>
      </c>
      <c r="F342">
        <v>720</v>
      </c>
      <c r="G342">
        <v>4600</v>
      </c>
      <c r="H342">
        <f xml:space="preserve"> Table1[[#This Row],[Gross_Revenue]]-Table1[[#This Row],[Refunds]]</f>
        <v>400</v>
      </c>
      <c r="I342" s="2">
        <f xml:space="preserve"> Table1[[#This Row],[Net Revenue]]/Table1[[#This Row],[Marketing_Spend]]</f>
        <v>0.55555555555555558</v>
      </c>
      <c r="J342" s="2">
        <f>Table1[[#This Row],[Marketing_Spend]]/Table1[[#This Row],[Web_Traffic]]</f>
        <v>0.15652173913043479</v>
      </c>
    </row>
    <row r="343" spans="1:10" x14ac:dyDescent="0.3">
      <c r="A343" s="1">
        <v>45828</v>
      </c>
      <c r="B343" t="s">
        <v>9</v>
      </c>
      <c r="C343" t="s">
        <v>10</v>
      </c>
      <c r="D343">
        <v>5000</v>
      </c>
      <c r="E343">
        <v>4300</v>
      </c>
      <c r="F343">
        <v>920</v>
      </c>
      <c r="G343">
        <v>5300</v>
      </c>
      <c r="H343">
        <f xml:space="preserve"> Table1[[#This Row],[Gross_Revenue]]-Table1[[#This Row],[Refunds]]</f>
        <v>700</v>
      </c>
      <c r="I343" s="2">
        <f xml:space="preserve"> Table1[[#This Row],[Net Revenue]]/Table1[[#This Row],[Marketing_Spend]]</f>
        <v>0.76086956521739135</v>
      </c>
      <c r="J343" s="2">
        <f>Table1[[#This Row],[Marketing_Spend]]/Table1[[#This Row],[Web_Traffic]]</f>
        <v>0.17358490566037735</v>
      </c>
    </row>
    <row r="344" spans="1:10" x14ac:dyDescent="0.3">
      <c r="A344" s="1">
        <v>45829</v>
      </c>
      <c r="B344" t="s">
        <v>7</v>
      </c>
      <c r="C344" t="s">
        <v>8</v>
      </c>
      <c r="D344">
        <v>5200</v>
      </c>
      <c r="E344">
        <v>4800</v>
      </c>
      <c r="F344">
        <v>700</v>
      </c>
      <c r="G344">
        <v>4500</v>
      </c>
      <c r="H344">
        <f xml:space="preserve"> Table1[[#This Row],[Gross_Revenue]]-Table1[[#This Row],[Refunds]]</f>
        <v>400</v>
      </c>
      <c r="I344" s="2">
        <f xml:space="preserve"> Table1[[#This Row],[Net Revenue]]/Table1[[#This Row],[Marketing_Spend]]</f>
        <v>0.5714285714285714</v>
      </c>
      <c r="J344" s="2">
        <f>Table1[[#This Row],[Marketing_Spend]]/Table1[[#This Row],[Web_Traffic]]</f>
        <v>0.15555555555555556</v>
      </c>
    </row>
    <row r="345" spans="1:10" x14ac:dyDescent="0.3">
      <c r="A345" s="1">
        <v>45829</v>
      </c>
      <c r="B345" t="s">
        <v>9</v>
      </c>
      <c r="C345" t="s">
        <v>10</v>
      </c>
      <c r="D345">
        <v>4900</v>
      </c>
      <c r="E345">
        <v>4200</v>
      </c>
      <c r="F345">
        <v>900</v>
      </c>
      <c r="G345">
        <v>5200</v>
      </c>
      <c r="H345">
        <f xml:space="preserve"> Table1[[#This Row],[Gross_Revenue]]-Table1[[#This Row],[Refunds]]</f>
        <v>700</v>
      </c>
      <c r="I345" s="2">
        <f xml:space="preserve"> Table1[[#This Row],[Net Revenue]]/Table1[[#This Row],[Marketing_Spend]]</f>
        <v>0.77777777777777779</v>
      </c>
      <c r="J345" s="2">
        <f>Table1[[#This Row],[Marketing_Spend]]/Table1[[#This Row],[Web_Traffic]]</f>
        <v>0.17307692307692307</v>
      </c>
    </row>
    <row r="346" spans="1:10" x14ac:dyDescent="0.3">
      <c r="A346" s="1">
        <v>45830</v>
      </c>
      <c r="B346" t="s">
        <v>7</v>
      </c>
      <c r="C346" t="s">
        <v>8</v>
      </c>
      <c r="D346">
        <v>6500</v>
      </c>
      <c r="E346">
        <v>325</v>
      </c>
      <c r="F346">
        <v>1100</v>
      </c>
      <c r="G346">
        <v>6500</v>
      </c>
      <c r="H346">
        <f xml:space="preserve"> Table1[[#This Row],[Gross_Revenue]]-Table1[[#This Row],[Refunds]]</f>
        <v>6175</v>
      </c>
      <c r="I346" s="2">
        <f xml:space="preserve"> Table1[[#This Row],[Net Revenue]]/Table1[[#This Row],[Marketing_Spend]]</f>
        <v>5.6136363636363633</v>
      </c>
      <c r="J346" s="2">
        <f>Table1[[#This Row],[Marketing_Spend]]/Table1[[#This Row],[Web_Traffic]]</f>
        <v>0.16923076923076924</v>
      </c>
    </row>
    <row r="347" spans="1:10" x14ac:dyDescent="0.3">
      <c r="A347" s="1">
        <v>45830</v>
      </c>
      <c r="B347" t="s">
        <v>9</v>
      </c>
      <c r="C347" t="s">
        <v>10</v>
      </c>
      <c r="D347">
        <v>6100</v>
      </c>
      <c r="E347">
        <v>305</v>
      </c>
      <c r="F347">
        <v>1400</v>
      </c>
      <c r="G347">
        <v>7500</v>
      </c>
      <c r="H347">
        <f xml:space="preserve"> Table1[[#This Row],[Gross_Revenue]]-Table1[[#This Row],[Refunds]]</f>
        <v>5795</v>
      </c>
      <c r="I347" s="2">
        <f xml:space="preserve"> Table1[[#This Row],[Net Revenue]]/Table1[[#This Row],[Marketing_Spend]]</f>
        <v>4.1392857142857142</v>
      </c>
      <c r="J347" s="2">
        <f>Table1[[#This Row],[Marketing_Spend]]/Table1[[#This Row],[Web_Traffic]]</f>
        <v>0.18666666666666668</v>
      </c>
    </row>
    <row r="348" spans="1:10" x14ac:dyDescent="0.3">
      <c r="A348" s="1">
        <v>45831</v>
      </c>
      <c r="B348" t="s">
        <v>7</v>
      </c>
      <c r="C348" t="s">
        <v>8</v>
      </c>
      <c r="D348">
        <v>6550</v>
      </c>
      <c r="E348">
        <v>327</v>
      </c>
      <c r="F348">
        <v>1110</v>
      </c>
      <c r="G348">
        <v>6550</v>
      </c>
      <c r="H348">
        <f xml:space="preserve"> Table1[[#This Row],[Gross_Revenue]]-Table1[[#This Row],[Refunds]]</f>
        <v>6223</v>
      </c>
      <c r="I348" s="2">
        <f xml:space="preserve"> Table1[[#This Row],[Net Revenue]]/Table1[[#This Row],[Marketing_Spend]]</f>
        <v>5.6063063063063066</v>
      </c>
      <c r="J348" s="2">
        <f>Table1[[#This Row],[Marketing_Spend]]/Table1[[#This Row],[Web_Traffic]]</f>
        <v>0.16946564885496182</v>
      </c>
    </row>
    <row r="349" spans="1:10" x14ac:dyDescent="0.3">
      <c r="A349" s="1">
        <v>45831</v>
      </c>
      <c r="B349" t="s">
        <v>9</v>
      </c>
      <c r="C349" t="s">
        <v>10</v>
      </c>
      <c r="D349">
        <v>6150</v>
      </c>
      <c r="E349">
        <v>307</v>
      </c>
      <c r="F349">
        <v>1410</v>
      </c>
      <c r="G349">
        <v>7550</v>
      </c>
      <c r="H349">
        <f xml:space="preserve"> Table1[[#This Row],[Gross_Revenue]]-Table1[[#This Row],[Refunds]]</f>
        <v>5843</v>
      </c>
      <c r="I349" s="2">
        <f xml:space="preserve"> Table1[[#This Row],[Net Revenue]]/Table1[[#This Row],[Marketing_Spend]]</f>
        <v>4.143971631205674</v>
      </c>
      <c r="J349" s="2">
        <f>Table1[[#This Row],[Marketing_Spend]]/Table1[[#This Row],[Web_Traffic]]</f>
        <v>0.18675496688741722</v>
      </c>
    </row>
    <row r="350" spans="1:10" x14ac:dyDescent="0.3">
      <c r="A350" s="1">
        <v>45832</v>
      </c>
      <c r="B350" t="s">
        <v>7</v>
      </c>
      <c r="C350" t="s">
        <v>8</v>
      </c>
      <c r="D350">
        <v>6600</v>
      </c>
      <c r="E350">
        <v>330</v>
      </c>
      <c r="F350">
        <v>1120</v>
      </c>
      <c r="G350">
        <v>6600</v>
      </c>
      <c r="H350">
        <f xml:space="preserve"> Table1[[#This Row],[Gross_Revenue]]-Table1[[#This Row],[Refunds]]</f>
        <v>6270</v>
      </c>
      <c r="I350" s="2">
        <f xml:space="preserve"> Table1[[#This Row],[Net Revenue]]/Table1[[#This Row],[Marketing_Spend]]</f>
        <v>5.5982142857142856</v>
      </c>
      <c r="J350" s="2">
        <f>Table1[[#This Row],[Marketing_Spend]]/Table1[[#This Row],[Web_Traffic]]</f>
        <v>0.16969696969696971</v>
      </c>
    </row>
    <row r="351" spans="1:10" x14ac:dyDescent="0.3">
      <c r="A351" s="1">
        <v>45832</v>
      </c>
      <c r="B351" t="s">
        <v>9</v>
      </c>
      <c r="C351" t="s">
        <v>10</v>
      </c>
      <c r="D351">
        <v>6200</v>
      </c>
      <c r="E351">
        <v>310</v>
      </c>
      <c r="F351">
        <v>1420</v>
      </c>
      <c r="G351">
        <v>7600</v>
      </c>
      <c r="H351">
        <f xml:space="preserve"> Table1[[#This Row],[Gross_Revenue]]-Table1[[#This Row],[Refunds]]</f>
        <v>5890</v>
      </c>
      <c r="I351" s="2">
        <f xml:space="preserve"> Table1[[#This Row],[Net Revenue]]/Table1[[#This Row],[Marketing_Spend]]</f>
        <v>4.147887323943662</v>
      </c>
      <c r="J351" s="2">
        <f>Table1[[#This Row],[Marketing_Spend]]/Table1[[#This Row],[Web_Traffic]]</f>
        <v>0.18684210526315789</v>
      </c>
    </row>
    <row r="352" spans="1:10" x14ac:dyDescent="0.3">
      <c r="A352" s="1">
        <v>45833</v>
      </c>
      <c r="B352" t="s">
        <v>7</v>
      </c>
      <c r="C352" t="s">
        <v>8</v>
      </c>
      <c r="D352">
        <v>6650</v>
      </c>
      <c r="E352">
        <v>332</v>
      </c>
      <c r="F352">
        <v>1130</v>
      </c>
      <c r="G352">
        <v>6650</v>
      </c>
      <c r="H352">
        <f xml:space="preserve"> Table1[[#This Row],[Gross_Revenue]]-Table1[[#This Row],[Refunds]]</f>
        <v>6318</v>
      </c>
      <c r="I352" s="2">
        <f xml:space="preserve"> Table1[[#This Row],[Net Revenue]]/Table1[[#This Row],[Marketing_Spend]]</f>
        <v>5.5911504424778764</v>
      </c>
      <c r="J352" s="2">
        <f>Table1[[#This Row],[Marketing_Spend]]/Table1[[#This Row],[Web_Traffic]]</f>
        <v>0.1699248120300752</v>
      </c>
    </row>
    <row r="353" spans="1:10" x14ac:dyDescent="0.3">
      <c r="A353" s="1">
        <v>45833</v>
      </c>
      <c r="B353" t="s">
        <v>9</v>
      </c>
      <c r="C353" t="s">
        <v>10</v>
      </c>
      <c r="D353">
        <v>6250</v>
      </c>
      <c r="E353">
        <v>312</v>
      </c>
      <c r="F353">
        <v>1430</v>
      </c>
      <c r="G353">
        <v>7650</v>
      </c>
      <c r="H353">
        <f xml:space="preserve"> Table1[[#This Row],[Gross_Revenue]]-Table1[[#This Row],[Refunds]]</f>
        <v>5938</v>
      </c>
      <c r="I353" s="2">
        <f xml:space="preserve"> Table1[[#This Row],[Net Revenue]]/Table1[[#This Row],[Marketing_Spend]]</f>
        <v>4.1524475524475521</v>
      </c>
      <c r="J353" s="2">
        <f>Table1[[#This Row],[Marketing_Spend]]/Table1[[#This Row],[Web_Traffic]]</f>
        <v>0.1869281045751634</v>
      </c>
    </row>
    <row r="354" spans="1:10" x14ac:dyDescent="0.3">
      <c r="A354" s="1">
        <v>45834</v>
      </c>
      <c r="B354" t="s">
        <v>7</v>
      </c>
      <c r="C354" t="s">
        <v>8</v>
      </c>
      <c r="D354">
        <v>6700</v>
      </c>
      <c r="E354">
        <v>335</v>
      </c>
      <c r="F354">
        <v>1140</v>
      </c>
      <c r="G354">
        <v>6700</v>
      </c>
      <c r="H354">
        <f xml:space="preserve"> Table1[[#This Row],[Gross_Revenue]]-Table1[[#This Row],[Refunds]]</f>
        <v>6365</v>
      </c>
      <c r="I354" s="2">
        <f xml:space="preserve"> Table1[[#This Row],[Net Revenue]]/Table1[[#This Row],[Marketing_Spend]]</f>
        <v>5.583333333333333</v>
      </c>
      <c r="J354" s="2">
        <f>Table1[[#This Row],[Marketing_Spend]]/Table1[[#This Row],[Web_Traffic]]</f>
        <v>0.17014925373134329</v>
      </c>
    </row>
    <row r="355" spans="1:10" x14ac:dyDescent="0.3">
      <c r="A355" s="1">
        <v>45834</v>
      </c>
      <c r="B355" t="s">
        <v>9</v>
      </c>
      <c r="C355" t="s">
        <v>10</v>
      </c>
      <c r="D355">
        <v>6300</v>
      </c>
      <c r="E355">
        <v>315</v>
      </c>
      <c r="F355">
        <v>1440</v>
      </c>
      <c r="G355">
        <v>7700</v>
      </c>
      <c r="H355">
        <f xml:space="preserve"> Table1[[#This Row],[Gross_Revenue]]-Table1[[#This Row],[Refunds]]</f>
        <v>5985</v>
      </c>
      <c r="I355" s="2">
        <f xml:space="preserve"> Table1[[#This Row],[Net Revenue]]/Table1[[#This Row],[Marketing_Spend]]</f>
        <v>4.15625</v>
      </c>
      <c r="J355" s="2">
        <f>Table1[[#This Row],[Marketing_Spend]]/Table1[[#This Row],[Web_Traffic]]</f>
        <v>0.18701298701298702</v>
      </c>
    </row>
    <row r="356" spans="1:10" x14ac:dyDescent="0.3">
      <c r="A356" s="1">
        <v>45835</v>
      </c>
      <c r="B356" t="s">
        <v>7</v>
      </c>
      <c r="C356" t="s">
        <v>8</v>
      </c>
      <c r="D356">
        <v>6750</v>
      </c>
      <c r="E356">
        <v>337</v>
      </c>
      <c r="F356">
        <v>1150</v>
      </c>
      <c r="G356">
        <v>6750</v>
      </c>
      <c r="H356">
        <f xml:space="preserve"> Table1[[#This Row],[Gross_Revenue]]-Table1[[#This Row],[Refunds]]</f>
        <v>6413</v>
      </c>
      <c r="I356" s="2">
        <f xml:space="preserve"> Table1[[#This Row],[Net Revenue]]/Table1[[#This Row],[Marketing_Spend]]</f>
        <v>5.5765217391304347</v>
      </c>
      <c r="J356" s="2">
        <f>Table1[[#This Row],[Marketing_Spend]]/Table1[[#This Row],[Web_Traffic]]</f>
        <v>0.17037037037037037</v>
      </c>
    </row>
    <row r="357" spans="1:10" x14ac:dyDescent="0.3">
      <c r="A357" s="1">
        <v>45835</v>
      </c>
      <c r="B357" t="s">
        <v>9</v>
      </c>
      <c r="C357" t="s">
        <v>10</v>
      </c>
      <c r="D357">
        <v>6350</v>
      </c>
      <c r="E357">
        <v>317</v>
      </c>
      <c r="F357">
        <v>1450</v>
      </c>
      <c r="G357">
        <v>7750</v>
      </c>
      <c r="H357">
        <f xml:space="preserve"> Table1[[#This Row],[Gross_Revenue]]-Table1[[#This Row],[Refunds]]</f>
        <v>6033</v>
      </c>
      <c r="I357" s="2">
        <f xml:space="preserve"> Table1[[#This Row],[Net Revenue]]/Table1[[#This Row],[Marketing_Spend]]</f>
        <v>4.1606896551724137</v>
      </c>
      <c r="J357" s="2">
        <f>Table1[[#This Row],[Marketing_Spend]]/Table1[[#This Row],[Web_Traffic]]</f>
        <v>0.18709677419354839</v>
      </c>
    </row>
    <row r="358" spans="1:10" x14ac:dyDescent="0.3">
      <c r="A358" s="1">
        <v>45836</v>
      </c>
      <c r="B358" t="s">
        <v>7</v>
      </c>
      <c r="C358" t="s">
        <v>8</v>
      </c>
      <c r="D358">
        <v>6800</v>
      </c>
      <c r="E358">
        <v>340</v>
      </c>
      <c r="F358">
        <v>1160</v>
      </c>
      <c r="G358">
        <v>6800</v>
      </c>
      <c r="H358">
        <f xml:space="preserve"> Table1[[#This Row],[Gross_Revenue]]-Table1[[#This Row],[Refunds]]</f>
        <v>6460</v>
      </c>
      <c r="I358" s="2">
        <f xml:space="preserve"> Table1[[#This Row],[Net Revenue]]/Table1[[#This Row],[Marketing_Spend]]</f>
        <v>5.568965517241379</v>
      </c>
      <c r="J358" s="2">
        <f>Table1[[#This Row],[Marketing_Spend]]/Table1[[#This Row],[Web_Traffic]]</f>
        <v>0.17058823529411765</v>
      </c>
    </row>
    <row r="359" spans="1:10" x14ac:dyDescent="0.3">
      <c r="A359" s="1">
        <v>45836</v>
      </c>
      <c r="B359" t="s">
        <v>9</v>
      </c>
      <c r="C359" t="s">
        <v>10</v>
      </c>
      <c r="D359">
        <v>6400</v>
      </c>
      <c r="E359">
        <v>320</v>
      </c>
      <c r="F359">
        <v>1460</v>
      </c>
      <c r="G359">
        <v>7800</v>
      </c>
      <c r="H359">
        <f xml:space="preserve"> Table1[[#This Row],[Gross_Revenue]]-Table1[[#This Row],[Refunds]]</f>
        <v>6080</v>
      </c>
      <c r="I359" s="2">
        <f xml:space="preserve"> Table1[[#This Row],[Net Revenue]]/Table1[[#This Row],[Marketing_Spend]]</f>
        <v>4.1643835616438354</v>
      </c>
      <c r="J359" s="2">
        <f>Table1[[#This Row],[Marketing_Spend]]/Table1[[#This Row],[Web_Traffic]]</f>
        <v>0.18717948717948718</v>
      </c>
    </row>
    <row r="360" spans="1:10" x14ac:dyDescent="0.3">
      <c r="A360" s="1">
        <v>45837</v>
      </c>
      <c r="B360" t="s">
        <v>7</v>
      </c>
      <c r="C360" t="s">
        <v>8</v>
      </c>
      <c r="D360">
        <v>6850</v>
      </c>
      <c r="E360">
        <v>342</v>
      </c>
      <c r="F360">
        <v>1170</v>
      </c>
      <c r="G360">
        <v>6850</v>
      </c>
      <c r="H360">
        <f xml:space="preserve"> Table1[[#This Row],[Gross_Revenue]]-Table1[[#This Row],[Refunds]]</f>
        <v>6508</v>
      </c>
      <c r="I360" s="2">
        <f xml:space="preserve"> Table1[[#This Row],[Net Revenue]]/Table1[[#This Row],[Marketing_Spend]]</f>
        <v>5.5623931623931622</v>
      </c>
      <c r="J360" s="2">
        <f>Table1[[#This Row],[Marketing_Spend]]/Table1[[#This Row],[Web_Traffic]]</f>
        <v>0.17080291970802919</v>
      </c>
    </row>
    <row r="361" spans="1:10" x14ac:dyDescent="0.3">
      <c r="A361" s="1">
        <v>45837</v>
      </c>
      <c r="B361" t="s">
        <v>9</v>
      </c>
      <c r="C361" t="s">
        <v>10</v>
      </c>
      <c r="D361">
        <v>6450</v>
      </c>
      <c r="E361">
        <v>322</v>
      </c>
      <c r="F361">
        <v>1470</v>
      </c>
      <c r="G361">
        <v>7850</v>
      </c>
      <c r="H361">
        <f xml:space="preserve"> Table1[[#This Row],[Gross_Revenue]]-Table1[[#This Row],[Refunds]]</f>
        <v>6128</v>
      </c>
      <c r="I361" s="2">
        <f xml:space="preserve"> Table1[[#This Row],[Net Revenue]]/Table1[[#This Row],[Marketing_Spend]]</f>
        <v>4.1687074829931969</v>
      </c>
      <c r="J361" s="2">
        <f>Table1[[#This Row],[Marketing_Spend]]/Table1[[#This Row],[Web_Traffic]]</f>
        <v>0.18726114649681527</v>
      </c>
    </row>
    <row r="362" spans="1:10" x14ac:dyDescent="0.3">
      <c r="A362" s="1">
        <v>45838</v>
      </c>
      <c r="B362" t="s">
        <v>7</v>
      </c>
      <c r="C362" t="s">
        <v>8</v>
      </c>
      <c r="D362">
        <v>6900</v>
      </c>
      <c r="E362">
        <v>345</v>
      </c>
      <c r="F362">
        <v>1180</v>
      </c>
      <c r="G362">
        <v>6900</v>
      </c>
      <c r="H362">
        <f xml:space="preserve"> Table1[[#This Row],[Gross_Revenue]]-Table1[[#This Row],[Refunds]]</f>
        <v>6555</v>
      </c>
      <c r="I362" s="2">
        <f xml:space="preserve"> Table1[[#This Row],[Net Revenue]]/Table1[[#This Row],[Marketing_Spend]]</f>
        <v>5.5550847457627119</v>
      </c>
      <c r="J362" s="2">
        <f>Table1[[#This Row],[Marketing_Spend]]/Table1[[#This Row],[Web_Traffic]]</f>
        <v>0.17101449275362318</v>
      </c>
    </row>
    <row r="363" spans="1:10" x14ac:dyDescent="0.3">
      <c r="A363" s="1">
        <v>45838</v>
      </c>
      <c r="B363" t="s">
        <v>9</v>
      </c>
      <c r="C363" t="s">
        <v>10</v>
      </c>
      <c r="D363">
        <v>6500</v>
      </c>
      <c r="E363">
        <v>325</v>
      </c>
      <c r="F363">
        <v>1480</v>
      </c>
      <c r="G363">
        <v>7900</v>
      </c>
      <c r="H363">
        <f xml:space="preserve"> Table1[[#This Row],[Gross_Revenue]]-Table1[[#This Row],[Refunds]]</f>
        <v>6175</v>
      </c>
      <c r="I363" s="2">
        <f xml:space="preserve"> Table1[[#This Row],[Net Revenue]]/Table1[[#This Row],[Marketing_Spend]]</f>
        <v>4.1722972972972974</v>
      </c>
      <c r="J363" s="2">
        <f>Table1[[#This Row],[Marketing_Spend]]/Table1[[#This Row],[Web_Traffic]]</f>
        <v>0.18734177215189873</v>
      </c>
    </row>
    <row r="364" spans="1:10" x14ac:dyDescent="0.3">
      <c r="A364" s="1">
        <v>45839</v>
      </c>
      <c r="B364" t="s">
        <v>7</v>
      </c>
      <c r="C364" t="s">
        <v>8</v>
      </c>
      <c r="D364">
        <v>5500</v>
      </c>
      <c r="E364">
        <v>275</v>
      </c>
      <c r="F364">
        <v>900</v>
      </c>
      <c r="G364">
        <v>5200</v>
      </c>
      <c r="H364">
        <f xml:space="preserve"> Table1[[#This Row],[Gross_Revenue]]-Table1[[#This Row],[Refunds]]</f>
        <v>5225</v>
      </c>
      <c r="I364" s="2">
        <f xml:space="preserve"> Table1[[#This Row],[Net Revenue]]/Table1[[#This Row],[Marketing_Spend]]</f>
        <v>5.8055555555555554</v>
      </c>
      <c r="J364" s="2">
        <f>Table1[[#This Row],[Marketing_Spend]]/Table1[[#This Row],[Web_Traffic]]</f>
        <v>0.17307692307692307</v>
      </c>
    </row>
    <row r="365" spans="1:10" x14ac:dyDescent="0.3">
      <c r="A365" s="1">
        <v>45839</v>
      </c>
      <c r="B365" t="s">
        <v>9</v>
      </c>
      <c r="C365" t="s">
        <v>10</v>
      </c>
      <c r="D365">
        <v>5100</v>
      </c>
      <c r="E365">
        <v>255</v>
      </c>
      <c r="F365">
        <v>1200</v>
      </c>
      <c r="G365">
        <v>6500</v>
      </c>
      <c r="H365">
        <f xml:space="preserve"> Table1[[#This Row],[Gross_Revenue]]-Table1[[#This Row],[Refunds]]</f>
        <v>4845</v>
      </c>
      <c r="I365" s="2">
        <f xml:space="preserve"> Table1[[#This Row],[Net Revenue]]/Table1[[#This Row],[Marketing_Spend]]</f>
        <v>4.0374999999999996</v>
      </c>
      <c r="J365" s="2">
        <f>Table1[[#This Row],[Marketing_Spend]]/Table1[[#This Row],[Web_Traffic]]</f>
        <v>0.18461538461538463</v>
      </c>
    </row>
    <row r="366" spans="1:10" x14ac:dyDescent="0.3">
      <c r="A366" s="1">
        <v>45840</v>
      </c>
      <c r="B366" t="s">
        <v>7</v>
      </c>
      <c r="C366" t="s">
        <v>8</v>
      </c>
      <c r="D366">
        <v>5550</v>
      </c>
      <c r="E366">
        <v>277</v>
      </c>
      <c r="F366">
        <v>910</v>
      </c>
      <c r="G366">
        <v>5250</v>
      </c>
      <c r="H366">
        <f xml:space="preserve"> Table1[[#This Row],[Gross_Revenue]]-Table1[[#This Row],[Refunds]]</f>
        <v>5273</v>
      </c>
      <c r="I366" s="2">
        <f xml:space="preserve"> Table1[[#This Row],[Net Revenue]]/Table1[[#This Row],[Marketing_Spend]]</f>
        <v>5.7945054945054943</v>
      </c>
      <c r="J366" s="2">
        <f>Table1[[#This Row],[Marketing_Spend]]/Table1[[#This Row],[Web_Traffic]]</f>
        <v>0.17333333333333334</v>
      </c>
    </row>
    <row r="367" spans="1:10" x14ac:dyDescent="0.3">
      <c r="A367" s="1">
        <v>45840</v>
      </c>
      <c r="B367" t="s">
        <v>9</v>
      </c>
      <c r="C367" t="s">
        <v>10</v>
      </c>
      <c r="D367">
        <v>5150</v>
      </c>
      <c r="E367">
        <v>257</v>
      </c>
      <c r="F367">
        <v>1210</v>
      </c>
      <c r="G367">
        <v>6550</v>
      </c>
      <c r="H367">
        <f xml:space="preserve"> Table1[[#This Row],[Gross_Revenue]]-Table1[[#This Row],[Refunds]]</f>
        <v>4893</v>
      </c>
      <c r="I367" s="2">
        <f xml:space="preserve"> Table1[[#This Row],[Net Revenue]]/Table1[[#This Row],[Marketing_Spend]]</f>
        <v>4.0438016528925615</v>
      </c>
      <c r="J367" s="2">
        <f>Table1[[#This Row],[Marketing_Spend]]/Table1[[#This Row],[Web_Traffic]]</f>
        <v>0.18473282442748093</v>
      </c>
    </row>
    <row r="368" spans="1:10" x14ac:dyDescent="0.3">
      <c r="A368" s="1">
        <v>45841</v>
      </c>
      <c r="B368" t="s">
        <v>7</v>
      </c>
      <c r="C368" t="s">
        <v>8</v>
      </c>
      <c r="D368">
        <v>5600</v>
      </c>
      <c r="E368">
        <v>280</v>
      </c>
      <c r="F368">
        <v>920</v>
      </c>
      <c r="G368">
        <v>5300</v>
      </c>
      <c r="H368">
        <f xml:space="preserve"> Table1[[#This Row],[Gross_Revenue]]-Table1[[#This Row],[Refunds]]</f>
        <v>5320</v>
      </c>
      <c r="I368" s="2">
        <f xml:space="preserve"> Table1[[#This Row],[Net Revenue]]/Table1[[#This Row],[Marketing_Spend]]</f>
        <v>5.7826086956521738</v>
      </c>
      <c r="J368" s="2">
        <f>Table1[[#This Row],[Marketing_Spend]]/Table1[[#This Row],[Web_Traffic]]</f>
        <v>0.17358490566037735</v>
      </c>
    </row>
    <row r="369" spans="1:10" x14ac:dyDescent="0.3">
      <c r="A369" s="1">
        <v>45841</v>
      </c>
      <c r="B369" t="s">
        <v>9</v>
      </c>
      <c r="C369" t="s">
        <v>10</v>
      </c>
      <c r="D369">
        <v>5200</v>
      </c>
      <c r="E369">
        <v>260</v>
      </c>
      <c r="F369">
        <v>1220</v>
      </c>
      <c r="G369">
        <v>6600</v>
      </c>
      <c r="H369">
        <f xml:space="preserve"> Table1[[#This Row],[Gross_Revenue]]-Table1[[#This Row],[Refunds]]</f>
        <v>4940</v>
      </c>
      <c r="I369" s="2">
        <f xml:space="preserve"> Table1[[#This Row],[Net Revenue]]/Table1[[#This Row],[Marketing_Spend]]</f>
        <v>4.0491803278688527</v>
      </c>
      <c r="J369" s="2">
        <f>Table1[[#This Row],[Marketing_Spend]]/Table1[[#This Row],[Web_Traffic]]</f>
        <v>0.18484848484848485</v>
      </c>
    </row>
    <row r="370" spans="1:10" x14ac:dyDescent="0.3">
      <c r="A370" s="1">
        <v>45842</v>
      </c>
      <c r="B370" t="s">
        <v>7</v>
      </c>
      <c r="C370" t="s">
        <v>8</v>
      </c>
      <c r="D370">
        <v>5650</v>
      </c>
      <c r="E370">
        <v>282</v>
      </c>
      <c r="F370">
        <v>930</v>
      </c>
      <c r="G370">
        <v>5350</v>
      </c>
      <c r="H370">
        <f xml:space="preserve"> Table1[[#This Row],[Gross_Revenue]]-Table1[[#This Row],[Refunds]]</f>
        <v>5368</v>
      </c>
      <c r="I370" s="2">
        <f xml:space="preserve"> Table1[[#This Row],[Net Revenue]]/Table1[[#This Row],[Marketing_Spend]]</f>
        <v>5.7720430107526886</v>
      </c>
      <c r="J370" s="2">
        <f>Table1[[#This Row],[Marketing_Spend]]/Table1[[#This Row],[Web_Traffic]]</f>
        <v>0.17383177570093458</v>
      </c>
    </row>
    <row r="371" spans="1:10" x14ac:dyDescent="0.3">
      <c r="A371" s="1">
        <v>45842</v>
      </c>
      <c r="B371" t="s">
        <v>9</v>
      </c>
      <c r="C371" t="s">
        <v>10</v>
      </c>
      <c r="D371">
        <v>5250</v>
      </c>
      <c r="E371">
        <v>262</v>
      </c>
      <c r="F371">
        <v>1230</v>
      </c>
      <c r="G371">
        <v>6650</v>
      </c>
      <c r="H371">
        <f xml:space="preserve"> Table1[[#This Row],[Gross_Revenue]]-Table1[[#This Row],[Refunds]]</f>
        <v>4988</v>
      </c>
      <c r="I371" s="2">
        <f xml:space="preserve"> Table1[[#This Row],[Net Revenue]]/Table1[[#This Row],[Marketing_Spend]]</f>
        <v>4.0552845528455288</v>
      </c>
      <c r="J371" s="2">
        <f>Table1[[#This Row],[Marketing_Spend]]/Table1[[#This Row],[Web_Traffic]]</f>
        <v>0.18496240601503761</v>
      </c>
    </row>
    <row r="372" spans="1:10" x14ac:dyDescent="0.3">
      <c r="A372" s="1">
        <v>45843</v>
      </c>
      <c r="B372" t="s">
        <v>7</v>
      </c>
      <c r="C372" t="s">
        <v>8</v>
      </c>
      <c r="D372">
        <v>5700</v>
      </c>
      <c r="E372">
        <v>285</v>
      </c>
      <c r="F372">
        <v>940</v>
      </c>
      <c r="G372">
        <v>5400</v>
      </c>
      <c r="H372">
        <f xml:space="preserve"> Table1[[#This Row],[Gross_Revenue]]-Table1[[#This Row],[Refunds]]</f>
        <v>5415</v>
      </c>
      <c r="I372" s="2">
        <f xml:space="preserve"> Table1[[#This Row],[Net Revenue]]/Table1[[#This Row],[Marketing_Spend]]</f>
        <v>5.7606382978723403</v>
      </c>
      <c r="J372" s="2">
        <f>Table1[[#This Row],[Marketing_Spend]]/Table1[[#This Row],[Web_Traffic]]</f>
        <v>0.17407407407407408</v>
      </c>
    </row>
    <row r="373" spans="1:10" x14ac:dyDescent="0.3">
      <c r="A373" s="1">
        <v>45843</v>
      </c>
      <c r="B373" t="s">
        <v>9</v>
      </c>
      <c r="C373" t="s">
        <v>10</v>
      </c>
      <c r="D373">
        <v>5300</v>
      </c>
      <c r="E373">
        <v>265</v>
      </c>
      <c r="F373">
        <v>1240</v>
      </c>
      <c r="G373">
        <v>6700</v>
      </c>
      <c r="H373">
        <f xml:space="preserve"> Table1[[#This Row],[Gross_Revenue]]-Table1[[#This Row],[Refunds]]</f>
        <v>5035</v>
      </c>
      <c r="I373" s="2">
        <f xml:space="preserve"> Table1[[#This Row],[Net Revenue]]/Table1[[#This Row],[Marketing_Spend]]</f>
        <v>4.060483870967742</v>
      </c>
      <c r="J373" s="2">
        <f>Table1[[#This Row],[Marketing_Spend]]/Table1[[#This Row],[Web_Traffic]]</f>
        <v>0.18507462686567164</v>
      </c>
    </row>
    <row r="374" spans="1:10" x14ac:dyDescent="0.3">
      <c r="A374" s="1">
        <v>45844</v>
      </c>
      <c r="B374" t="s">
        <v>7</v>
      </c>
      <c r="C374" t="s">
        <v>8</v>
      </c>
      <c r="D374">
        <v>5750</v>
      </c>
      <c r="E374">
        <v>287</v>
      </c>
      <c r="F374">
        <v>950</v>
      </c>
      <c r="G374">
        <v>5450</v>
      </c>
      <c r="H374">
        <f xml:space="preserve"> Table1[[#This Row],[Gross_Revenue]]-Table1[[#This Row],[Refunds]]</f>
        <v>5463</v>
      </c>
      <c r="I374" s="2">
        <f xml:space="preserve"> Table1[[#This Row],[Net Revenue]]/Table1[[#This Row],[Marketing_Spend]]</f>
        <v>5.7505263157894735</v>
      </c>
      <c r="J374" s="2">
        <f>Table1[[#This Row],[Marketing_Spend]]/Table1[[#This Row],[Web_Traffic]]</f>
        <v>0.1743119266055046</v>
      </c>
    </row>
    <row r="375" spans="1:10" x14ac:dyDescent="0.3">
      <c r="A375" s="1">
        <v>45844</v>
      </c>
      <c r="B375" t="s">
        <v>9</v>
      </c>
      <c r="C375" t="s">
        <v>10</v>
      </c>
      <c r="D375">
        <v>5350</v>
      </c>
      <c r="E375">
        <v>267</v>
      </c>
      <c r="F375">
        <v>1250</v>
      </c>
      <c r="G375">
        <v>6750</v>
      </c>
      <c r="H375">
        <f xml:space="preserve"> Table1[[#This Row],[Gross_Revenue]]-Table1[[#This Row],[Refunds]]</f>
        <v>5083</v>
      </c>
      <c r="I375" s="2">
        <f xml:space="preserve"> Table1[[#This Row],[Net Revenue]]/Table1[[#This Row],[Marketing_Spend]]</f>
        <v>4.0663999999999998</v>
      </c>
      <c r="J375" s="2">
        <f>Table1[[#This Row],[Marketing_Spend]]/Table1[[#This Row],[Web_Traffic]]</f>
        <v>0.18518518518518517</v>
      </c>
    </row>
    <row r="376" spans="1:10" x14ac:dyDescent="0.3">
      <c r="A376" s="1">
        <v>45845</v>
      </c>
      <c r="B376" t="s">
        <v>7</v>
      </c>
      <c r="C376" t="s">
        <v>8</v>
      </c>
      <c r="D376">
        <v>5800</v>
      </c>
      <c r="E376">
        <v>290</v>
      </c>
      <c r="F376">
        <v>960</v>
      </c>
      <c r="G376">
        <v>5500</v>
      </c>
      <c r="H376">
        <f xml:space="preserve"> Table1[[#This Row],[Gross_Revenue]]-Table1[[#This Row],[Refunds]]</f>
        <v>5510</v>
      </c>
      <c r="I376" s="2">
        <f xml:space="preserve"> Table1[[#This Row],[Net Revenue]]/Table1[[#This Row],[Marketing_Spend]]</f>
        <v>5.739583333333333</v>
      </c>
      <c r="J376" s="2">
        <f>Table1[[#This Row],[Marketing_Spend]]/Table1[[#This Row],[Web_Traffic]]</f>
        <v>0.17454545454545456</v>
      </c>
    </row>
    <row r="377" spans="1:10" x14ac:dyDescent="0.3">
      <c r="A377" s="1">
        <v>45845</v>
      </c>
      <c r="B377" t="s">
        <v>9</v>
      </c>
      <c r="C377" t="s">
        <v>10</v>
      </c>
      <c r="D377">
        <v>5400</v>
      </c>
      <c r="E377">
        <v>270</v>
      </c>
      <c r="F377">
        <v>1260</v>
      </c>
      <c r="G377">
        <v>6800</v>
      </c>
      <c r="H377">
        <f xml:space="preserve"> Table1[[#This Row],[Gross_Revenue]]-Table1[[#This Row],[Refunds]]</f>
        <v>5130</v>
      </c>
      <c r="I377" s="2">
        <f xml:space="preserve"> Table1[[#This Row],[Net Revenue]]/Table1[[#This Row],[Marketing_Spend]]</f>
        <v>4.0714285714285712</v>
      </c>
      <c r="J377" s="2">
        <f>Table1[[#This Row],[Marketing_Spend]]/Table1[[#This Row],[Web_Traffic]]</f>
        <v>0.18529411764705883</v>
      </c>
    </row>
    <row r="378" spans="1:10" x14ac:dyDescent="0.3">
      <c r="A378" s="1">
        <v>45846</v>
      </c>
      <c r="B378" t="s">
        <v>7</v>
      </c>
      <c r="C378" t="s">
        <v>8</v>
      </c>
      <c r="D378">
        <v>5850</v>
      </c>
      <c r="E378">
        <v>292</v>
      </c>
      <c r="F378">
        <v>970</v>
      </c>
      <c r="G378">
        <v>5550</v>
      </c>
      <c r="H378">
        <f xml:space="preserve"> Table1[[#This Row],[Gross_Revenue]]-Table1[[#This Row],[Refunds]]</f>
        <v>5558</v>
      </c>
      <c r="I378" s="2">
        <f xml:space="preserve"> Table1[[#This Row],[Net Revenue]]/Table1[[#This Row],[Marketing_Spend]]</f>
        <v>5.7298969072164949</v>
      </c>
      <c r="J378" s="2">
        <f>Table1[[#This Row],[Marketing_Spend]]/Table1[[#This Row],[Web_Traffic]]</f>
        <v>0.17477477477477477</v>
      </c>
    </row>
    <row r="379" spans="1:10" x14ac:dyDescent="0.3">
      <c r="A379" s="1">
        <v>45846</v>
      </c>
      <c r="B379" t="s">
        <v>9</v>
      </c>
      <c r="C379" t="s">
        <v>10</v>
      </c>
      <c r="D379">
        <v>5450</v>
      </c>
      <c r="E379">
        <v>272</v>
      </c>
      <c r="F379">
        <v>1270</v>
      </c>
      <c r="G379">
        <v>6850</v>
      </c>
      <c r="H379">
        <f xml:space="preserve"> Table1[[#This Row],[Gross_Revenue]]-Table1[[#This Row],[Refunds]]</f>
        <v>5178</v>
      </c>
      <c r="I379" s="2">
        <f xml:space="preserve"> Table1[[#This Row],[Net Revenue]]/Table1[[#This Row],[Marketing_Spend]]</f>
        <v>4.0771653543307087</v>
      </c>
      <c r="J379" s="2">
        <f>Table1[[#This Row],[Marketing_Spend]]/Table1[[#This Row],[Web_Traffic]]</f>
        <v>0.1854014598540146</v>
      </c>
    </row>
    <row r="380" spans="1:10" x14ac:dyDescent="0.3">
      <c r="A380" s="1">
        <v>45847</v>
      </c>
      <c r="B380" t="s">
        <v>7</v>
      </c>
      <c r="C380" t="s">
        <v>8</v>
      </c>
      <c r="D380">
        <v>5900</v>
      </c>
      <c r="E380">
        <v>295</v>
      </c>
      <c r="F380">
        <v>980</v>
      </c>
      <c r="G380">
        <v>5600</v>
      </c>
      <c r="H380">
        <f xml:space="preserve"> Table1[[#This Row],[Gross_Revenue]]-Table1[[#This Row],[Refunds]]</f>
        <v>5605</v>
      </c>
      <c r="I380" s="2">
        <f xml:space="preserve"> Table1[[#This Row],[Net Revenue]]/Table1[[#This Row],[Marketing_Spend]]</f>
        <v>5.7193877551020407</v>
      </c>
      <c r="J380" s="2">
        <f>Table1[[#This Row],[Marketing_Spend]]/Table1[[#This Row],[Web_Traffic]]</f>
        <v>0.17499999999999999</v>
      </c>
    </row>
    <row r="381" spans="1:10" x14ac:dyDescent="0.3">
      <c r="A381" s="1">
        <v>45847</v>
      </c>
      <c r="B381" t="s">
        <v>9</v>
      </c>
      <c r="C381" t="s">
        <v>10</v>
      </c>
      <c r="D381">
        <v>5500</v>
      </c>
      <c r="E381">
        <v>275</v>
      </c>
      <c r="F381">
        <v>1280</v>
      </c>
      <c r="G381">
        <v>6900</v>
      </c>
      <c r="H381">
        <f xml:space="preserve"> Table1[[#This Row],[Gross_Revenue]]-Table1[[#This Row],[Refunds]]</f>
        <v>5225</v>
      </c>
      <c r="I381" s="2">
        <f xml:space="preserve"> Table1[[#This Row],[Net Revenue]]/Table1[[#This Row],[Marketing_Spend]]</f>
        <v>4.08203125</v>
      </c>
      <c r="J381" s="2">
        <f>Table1[[#This Row],[Marketing_Spend]]/Table1[[#This Row],[Web_Traffic]]</f>
        <v>0.1855072463768116</v>
      </c>
    </row>
    <row r="382" spans="1:10" x14ac:dyDescent="0.3">
      <c r="A382" s="1">
        <v>45848</v>
      </c>
      <c r="B382" t="s">
        <v>7</v>
      </c>
      <c r="C382" t="s">
        <v>8</v>
      </c>
      <c r="D382">
        <v>5950</v>
      </c>
      <c r="E382">
        <v>297</v>
      </c>
      <c r="F382">
        <v>990</v>
      </c>
      <c r="G382">
        <v>5650</v>
      </c>
      <c r="H382">
        <f xml:space="preserve"> Table1[[#This Row],[Gross_Revenue]]-Table1[[#This Row],[Refunds]]</f>
        <v>5653</v>
      </c>
      <c r="I382" s="2">
        <f xml:space="preserve"> Table1[[#This Row],[Net Revenue]]/Table1[[#This Row],[Marketing_Spend]]</f>
        <v>5.7101010101010097</v>
      </c>
      <c r="J382" s="2">
        <f>Table1[[#This Row],[Marketing_Spend]]/Table1[[#This Row],[Web_Traffic]]</f>
        <v>0.17522123893805311</v>
      </c>
    </row>
    <row r="383" spans="1:10" x14ac:dyDescent="0.3">
      <c r="A383" s="1">
        <v>45848</v>
      </c>
      <c r="B383" t="s">
        <v>9</v>
      </c>
      <c r="C383" t="s">
        <v>10</v>
      </c>
      <c r="D383">
        <v>5550</v>
      </c>
      <c r="E383">
        <v>277</v>
      </c>
      <c r="F383">
        <v>1290</v>
      </c>
      <c r="G383">
        <v>6950</v>
      </c>
      <c r="H383">
        <f xml:space="preserve"> Table1[[#This Row],[Gross_Revenue]]-Table1[[#This Row],[Refunds]]</f>
        <v>5273</v>
      </c>
      <c r="I383" s="2">
        <f xml:space="preserve"> Table1[[#This Row],[Net Revenue]]/Table1[[#This Row],[Marketing_Spend]]</f>
        <v>4.0875968992248062</v>
      </c>
      <c r="J383" s="2">
        <f>Table1[[#This Row],[Marketing_Spend]]/Table1[[#This Row],[Web_Traffic]]</f>
        <v>0.1856115107913669</v>
      </c>
    </row>
    <row r="384" spans="1:10" x14ac:dyDescent="0.3">
      <c r="A384" s="1">
        <v>45849</v>
      </c>
      <c r="B384" t="s">
        <v>7</v>
      </c>
      <c r="C384" t="s">
        <v>8</v>
      </c>
      <c r="D384">
        <v>6000</v>
      </c>
      <c r="E384">
        <v>300</v>
      </c>
      <c r="F384">
        <v>1000</v>
      </c>
      <c r="G384">
        <v>5700</v>
      </c>
      <c r="H384">
        <f xml:space="preserve"> Table1[[#This Row],[Gross_Revenue]]-Table1[[#This Row],[Refunds]]</f>
        <v>5700</v>
      </c>
      <c r="I384" s="2">
        <f xml:space="preserve"> Table1[[#This Row],[Net Revenue]]/Table1[[#This Row],[Marketing_Spend]]</f>
        <v>5.7</v>
      </c>
      <c r="J384" s="2">
        <f>Table1[[#This Row],[Marketing_Spend]]/Table1[[#This Row],[Web_Traffic]]</f>
        <v>0.17543859649122806</v>
      </c>
    </row>
    <row r="385" spans="1:10" x14ac:dyDescent="0.3">
      <c r="A385" s="1">
        <v>45849</v>
      </c>
      <c r="B385" t="s">
        <v>9</v>
      </c>
      <c r="C385" t="s">
        <v>10</v>
      </c>
      <c r="D385">
        <v>5600</v>
      </c>
      <c r="E385">
        <v>280</v>
      </c>
      <c r="F385">
        <v>1300</v>
      </c>
      <c r="G385">
        <v>7000</v>
      </c>
      <c r="H385">
        <f xml:space="preserve"> Table1[[#This Row],[Gross_Revenue]]-Table1[[#This Row],[Refunds]]</f>
        <v>5320</v>
      </c>
      <c r="I385" s="2">
        <f xml:space="preserve"> Table1[[#This Row],[Net Revenue]]/Table1[[#This Row],[Marketing_Spend]]</f>
        <v>4.092307692307692</v>
      </c>
      <c r="J385" s="2">
        <f>Table1[[#This Row],[Marketing_Spend]]/Table1[[#This Row],[Web_Traffic]]</f>
        <v>0.18571428571428572</v>
      </c>
    </row>
    <row r="386" spans="1:10" x14ac:dyDescent="0.3">
      <c r="A386" s="1">
        <v>45850</v>
      </c>
      <c r="B386" t="s">
        <v>7</v>
      </c>
      <c r="C386" t="s">
        <v>8</v>
      </c>
      <c r="D386">
        <v>6050</v>
      </c>
      <c r="E386">
        <v>302</v>
      </c>
      <c r="F386">
        <v>1010</v>
      </c>
      <c r="G386">
        <v>5750</v>
      </c>
      <c r="H386">
        <f xml:space="preserve"> Table1[[#This Row],[Gross_Revenue]]-Table1[[#This Row],[Refunds]]</f>
        <v>5748</v>
      </c>
      <c r="I386" s="2">
        <f xml:space="preserve"> Table1[[#This Row],[Net Revenue]]/Table1[[#This Row],[Marketing_Spend]]</f>
        <v>5.6910891089108908</v>
      </c>
      <c r="J386" s="2">
        <f>Table1[[#This Row],[Marketing_Spend]]/Table1[[#This Row],[Web_Traffic]]</f>
        <v>0.17565217391304347</v>
      </c>
    </row>
    <row r="387" spans="1:10" x14ac:dyDescent="0.3">
      <c r="A387" s="1">
        <v>45850</v>
      </c>
      <c r="B387" t="s">
        <v>9</v>
      </c>
      <c r="C387" t="s">
        <v>10</v>
      </c>
      <c r="D387">
        <v>5650</v>
      </c>
      <c r="E387">
        <v>282</v>
      </c>
      <c r="F387">
        <v>1310</v>
      </c>
      <c r="G387">
        <v>7050</v>
      </c>
      <c r="H387">
        <f xml:space="preserve"> Table1[[#This Row],[Gross_Revenue]]-Table1[[#This Row],[Refunds]]</f>
        <v>5368</v>
      </c>
      <c r="I387" s="2">
        <f xml:space="preserve"> Table1[[#This Row],[Net Revenue]]/Table1[[#This Row],[Marketing_Spend]]</f>
        <v>4.0977099236641221</v>
      </c>
      <c r="J387" s="2">
        <f>Table1[[#This Row],[Marketing_Spend]]/Table1[[#This Row],[Web_Traffic]]</f>
        <v>0.18581560283687942</v>
      </c>
    </row>
    <row r="388" spans="1:10" x14ac:dyDescent="0.3">
      <c r="A388" s="1">
        <v>45851</v>
      </c>
      <c r="B388" t="s">
        <v>7</v>
      </c>
      <c r="C388" t="s">
        <v>8</v>
      </c>
      <c r="D388">
        <v>6100</v>
      </c>
      <c r="E388">
        <v>305</v>
      </c>
      <c r="F388">
        <v>1020</v>
      </c>
      <c r="G388">
        <v>5800</v>
      </c>
      <c r="H388">
        <f xml:space="preserve"> Table1[[#This Row],[Gross_Revenue]]-Table1[[#This Row],[Refunds]]</f>
        <v>5795</v>
      </c>
      <c r="I388" s="2">
        <f xml:space="preserve"> Table1[[#This Row],[Net Revenue]]/Table1[[#This Row],[Marketing_Spend]]</f>
        <v>5.6813725490196081</v>
      </c>
      <c r="J388" s="2">
        <f>Table1[[#This Row],[Marketing_Spend]]/Table1[[#This Row],[Web_Traffic]]</f>
        <v>0.17586206896551723</v>
      </c>
    </row>
    <row r="389" spans="1:10" x14ac:dyDescent="0.3">
      <c r="A389" s="1">
        <v>45851</v>
      </c>
      <c r="B389" t="s">
        <v>9</v>
      </c>
      <c r="C389" t="s">
        <v>10</v>
      </c>
      <c r="D389">
        <v>5700</v>
      </c>
      <c r="E389">
        <v>285</v>
      </c>
      <c r="F389">
        <v>1320</v>
      </c>
      <c r="G389">
        <v>7100</v>
      </c>
      <c r="H389">
        <f xml:space="preserve"> Table1[[#This Row],[Gross_Revenue]]-Table1[[#This Row],[Refunds]]</f>
        <v>5415</v>
      </c>
      <c r="I389" s="2">
        <f xml:space="preserve"> Table1[[#This Row],[Net Revenue]]/Table1[[#This Row],[Marketing_Spend]]</f>
        <v>4.1022727272727275</v>
      </c>
      <c r="J389" s="2">
        <f>Table1[[#This Row],[Marketing_Spend]]/Table1[[#This Row],[Web_Traffic]]</f>
        <v>0.18591549295774648</v>
      </c>
    </row>
    <row r="390" spans="1:10" x14ac:dyDescent="0.3">
      <c r="A390" s="1">
        <v>45852</v>
      </c>
      <c r="B390" t="s">
        <v>7</v>
      </c>
      <c r="C390" t="s">
        <v>8</v>
      </c>
      <c r="D390">
        <v>6150</v>
      </c>
      <c r="E390">
        <v>307</v>
      </c>
      <c r="F390">
        <v>1030</v>
      </c>
      <c r="G390">
        <v>5850</v>
      </c>
      <c r="H390">
        <f xml:space="preserve"> Table1[[#This Row],[Gross_Revenue]]-Table1[[#This Row],[Refunds]]</f>
        <v>5843</v>
      </c>
      <c r="I390" s="2">
        <f xml:space="preserve"> Table1[[#This Row],[Net Revenue]]/Table1[[#This Row],[Marketing_Spend]]</f>
        <v>5.6728155339805824</v>
      </c>
      <c r="J390" s="2">
        <f>Table1[[#This Row],[Marketing_Spend]]/Table1[[#This Row],[Web_Traffic]]</f>
        <v>0.17606837606837608</v>
      </c>
    </row>
    <row r="391" spans="1:10" x14ac:dyDescent="0.3">
      <c r="A391" s="1">
        <v>45852</v>
      </c>
      <c r="B391" t="s">
        <v>9</v>
      </c>
      <c r="C391" t="s">
        <v>10</v>
      </c>
      <c r="D391">
        <v>5750</v>
      </c>
      <c r="E391">
        <v>287</v>
      </c>
      <c r="F391">
        <v>1330</v>
      </c>
      <c r="G391">
        <v>7150</v>
      </c>
      <c r="H391">
        <f xml:space="preserve"> Table1[[#This Row],[Gross_Revenue]]-Table1[[#This Row],[Refunds]]</f>
        <v>5463</v>
      </c>
      <c r="I391" s="2">
        <f xml:space="preserve"> Table1[[#This Row],[Net Revenue]]/Table1[[#This Row],[Marketing_Spend]]</f>
        <v>4.1075187969924816</v>
      </c>
      <c r="J391" s="2">
        <f>Table1[[#This Row],[Marketing_Spend]]/Table1[[#This Row],[Web_Traffic]]</f>
        <v>0.18601398601398603</v>
      </c>
    </row>
    <row r="392" spans="1:10" x14ac:dyDescent="0.3">
      <c r="A392" s="1">
        <v>45853</v>
      </c>
      <c r="B392" t="s">
        <v>7</v>
      </c>
      <c r="C392" t="s">
        <v>8</v>
      </c>
      <c r="D392">
        <v>6200</v>
      </c>
      <c r="E392">
        <v>310</v>
      </c>
      <c r="F392">
        <v>1040</v>
      </c>
      <c r="G392">
        <v>5900</v>
      </c>
      <c r="H392">
        <f xml:space="preserve"> Table1[[#This Row],[Gross_Revenue]]-Table1[[#This Row],[Refunds]]</f>
        <v>5890</v>
      </c>
      <c r="I392" s="2">
        <f xml:space="preserve"> Table1[[#This Row],[Net Revenue]]/Table1[[#This Row],[Marketing_Spend]]</f>
        <v>5.6634615384615383</v>
      </c>
      <c r="J392" s="2">
        <f>Table1[[#This Row],[Marketing_Spend]]/Table1[[#This Row],[Web_Traffic]]</f>
        <v>0.17627118644067796</v>
      </c>
    </row>
    <row r="393" spans="1:10" x14ac:dyDescent="0.3">
      <c r="A393" s="1">
        <v>45853</v>
      </c>
      <c r="B393" t="s">
        <v>9</v>
      </c>
      <c r="C393" t="s">
        <v>10</v>
      </c>
      <c r="D393">
        <v>5800</v>
      </c>
      <c r="E393">
        <v>290</v>
      </c>
      <c r="F393">
        <v>1340</v>
      </c>
      <c r="G393">
        <v>7200</v>
      </c>
      <c r="H393">
        <f xml:space="preserve"> Table1[[#This Row],[Gross_Revenue]]-Table1[[#This Row],[Refunds]]</f>
        <v>5510</v>
      </c>
      <c r="I393" s="2">
        <f xml:space="preserve"> Table1[[#This Row],[Net Revenue]]/Table1[[#This Row],[Marketing_Spend]]</f>
        <v>4.1119402985074629</v>
      </c>
      <c r="J393" s="2">
        <f>Table1[[#This Row],[Marketing_Spend]]/Table1[[#This Row],[Web_Traffic]]</f>
        <v>0.18611111111111112</v>
      </c>
    </row>
    <row r="394" spans="1:10" x14ac:dyDescent="0.3">
      <c r="A394" s="1">
        <v>45854</v>
      </c>
      <c r="B394" t="s">
        <v>7</v>
      </c>
      <c r="C394" t="s">
        <v>8</v>
      </c>
      <c r="D394">
        <v>6250</v>
      </c>
      <c r="E394">
        <v>312</v>
      </c>
      <c r="F394">
        <v>1050</v>
      </c>
      <c r="G394">
        <v>5950</v>
      </c>
      <c r="H394">
        <f xml:space="preserve"> Table1[[#This Row],[Gross_Revenue]]-Table1[[#This Row],[Refunds]]</f>
        <v>5938</v>
      </c>
      <c r="I394" s="2">
        <f xml:space="preserve"> Table1[[#This Row],[Net Revenue]]/Table1[[#This Row],[Marketing_Spend]]</f>
        <v>5.6552380952380954</v>
      </c>
      <c r="J394" s="2">
        <f>Table1[[#This Row],[Marketing_Spend]]/Table1[[#This Row],[Web_Traffic]]</f>
        <v>0.17647058823529413</v>
      </c>
    </row>
    <row r="395" spans="1:10" x14ac:dyDescent="0.3">
      <c r="A395" s="1">
        <v>45854</v>
      </c>
      <c r="B395" t="s">
        <v>9</v>
      </c>
      <c r="C395" t="s">
        <v>10</v>
      </c>
      <c r="D395">
        <v>5850</v>
      </c>
      <c r="E395">
        <v>292</v>
      </c>
      <c r="F395">
        <v>1350</v>
      </c>
      <c r="G395">
        <v>7250</v>
      </c>
      <c r="H395">
        <f xml:space="preserve"> Table1[[#This Row],[Gross_Revenue]]-Table1[[#This Row],[Refunds]]</f>
        <v>5558</v>
      </c>
      <c r="I395" s="2">
        <f xml:space="preserve"> Table1[[#This Row],[Net Revenue]]/Table1[[#This Row],[Marketing_Spend]]</f>
        <v>4.1170370370370373</v>
      </c>
      <c r="J395" s="2">
        <f>Table1[[#This Row],[Marketing_Spend]]/Table1[[#This Row],[Web_Traffic]]</f>
        <v>0.18620689655172415</v>
      </c>
    </row>
    <row r="396" spans="1:10" x14ac:dyDescent="0.3">
      <c r="A396" s="1">
        <v>45855</v>
      </c>
      <c r="B396" t="s">
        <v>7</v>
      </c>
      <c r="C396" t="s">
        <v>8</v>
      </c>
      <c r="D396">
        <v>6300</v>
      </c>
      <c r="E396">
        <v>315</v>
      </c>
      <c r="F396">
        <v>1060</v>
      </c>
      <c r="G396">
        <v>6000</v>
      </c>
      <c r="H396">
        <f xml:space="preserve"> Table1[[#This Row],[Gross_Revenue]]-Table1[[#This Row],[Refunds]]</f>
        <v>5985</v>
      </c>
      <c r="I396" s="2">
        <f xml:space="preserve"> Table1[[#This Row],[Net Revenue]]/Table1[[#This Row],[Marketing_Spend]]</f>
        <v>5.6462264150943398</v>
      </c>
      <c r="J396" s="2">
        <f>Table1[[#This Row],[Marketing_Spend]]/Table1[[#This Row],[Web_Traffic]]</f>
        <v>0.17666666666666667</v>
      </c>
    </row>
    <row r="397" spans="1:10" x14ac:dyDescent="0.3">
      <c r="A397" s="1">
        <v>45855</v>
      </c>
      <c r="B397" t="s">
        <v>9</v>
      </c>
      <c r="C397" t="s">
        <v>10</v>
      </c>
      <c r="D397">
        <v>5900</v>
      </c>
      <c r="E397">
        <v>295</v>
      </c>
      <c r="F397">
        <v>1360</v>
      </c>
      <c r="G397">
        <v>7300</v>
      </c>
      <c r="H397">
        <f xml:space="preserve"> Table1[[#This Row],[Gross_Revenue]]-Table1[[#This Row],[Refunds]]</f>
        <v>5605</v>
      </c>
      <c r="I397" s="2">
        <f xml:space="preserve"> Table1[[#This Row],[Net Revenue]]/Table1[[#This Row],[Marketing_Spend]]</f>
        <v>4.1213235294117645</v>
      </c>
      <c r="J397" s="2">
        <f>Table1[[#This Row],[Marketing_Spend]]/Table1[[#This Row],[Web_Traffic]]</f>
        <v>0.18630136986301371</v>
      </c>
    </row>
    <row r="398" spans="1:10" x14ac:dyDescent="0.3">
      <c r="A398" s="1">
        <v>45856</v>
      </c>
      <c r="B398" t="s">
        <v>7</v>
      </c>
      <c r="C398" t="s">
        <v>8</v>
      </c>
      <c r="D398">
        <v>6350</v>
      </c>
      <c r="E398">
        <v>317</v>
      </c>
      <c r="F398">
        <v>1070</v>
      </c>
      <c r="G398">
        <v>6050</v>
      </c>
      <c r="H398">
        <f xml:space="preserve"> Table1[[#This Row],[Gross_Revenue]]-Table1[[#This Row],[Refunds]]</f>
        <v>6033</v>
      </c>
      <c r="I398" s="2">
        <f xml:space="preserve"> Table1[[#This Row],[Net Revenue]]/Table1[[#This Row],[Marketing_Spend]]</f>
        <v>5.6383177570093457</v>
      </c>
      <c r="J398" s="2">
        <f>Table1[[#This Row],[Marketing_Spend]]/Table1[[#This Row],[Web_Traffic]]</f>
        <v>0.17685950413223139</v>
      </c>
    </row>
    <row r="399" spans="1:10" x14ac:dyDescent="0.3">
      <c r="A399" s="1">
        <v>45856</v>
      </c>
      <c r="B399" t="s">
        <v>9</v>
      </c>
      <c r="C399" t="s">
        <v>10</v>
      </c>
      <c r="D399">
        <v>5950</v>
      </c>
      <c r="E399">
        <v>297</v>
      </c>
      <c r="F399">
        <v>1370</v>
      </c>
      <c r="G399">
        <v>7350</v>
      </c>
      <c r="H399">
        <f xml:space="preserve"> Table1[[#This Row],[Gross_Revenue]]-Table1[[#This Row],[Refunds]]</f>
        <v>5653</v>
      </c>
      <c r="I399" s="2">
        <f xml:space="preserve"> Table1[[#This Row],[Net Revenue]]/Table1[[#This Row],[Marketing_Spend]]</f>
        <v>4.1262773722627735</v>
      </c>
      <c r="J399" s="2">
        <f>Table1[[#This Row],[Marketing_Spend]]/Table1[[#This Row],[Web_Traffic]]</f>
        <v>0.18639455782312925</v>
      </c>
    </row>
    <row r="400" spans="1:10" x14ac:dyDescent="0.3">
      <c r="A400" s="1">
        <v>45857</v>
      </c>
      <c r="B400" t="s">
        <v>7</v>
      </c>
      <c r="C400" t="s">
        <v>8</v>
      </c>
      <c r="D400">
        <v>6400</v>
      </c>
      <c r="E400">
        <v>320</v>
      </c>
      <c r="F400">
        <v>1080</v>
      </c>
      <c r="G400">
        <v>6100</v>
      </c>
      <c r="H400">
        <f xml:space="preserve"> Table1[[#This Row],[Gross_Revenue]]-Table1[[#This Row],[Refunds]]</f>
        <v>6080</v>
      </c>
      <c r="I400" s="2">
        <f xml:space="preserve"> Table1[[#This Row],[Net Revenue]]/Table1[[#This Row],[Marketing_Spend]]</f>
        <v>5.6296296296296298</v>
      </c>
      <c r="J400" s="2">
        <f>Table1[[#This Row],[Marketing_Spend]]/Table1[[#This Row],[Web_Traffic]]</f>
        <v>0.17704918032786884</v>
      </c>
    </row>
    <row r="401" spans="1:10" x14ac:dyDescent="0.3">
      <c r="A401" s="1">
        <v>45857</v>
      </c>
      <c r="B401" t="s">
        <v>9</v>
      </c>
      <c r="C401" t="s">
        <v>10</v>
      </c>
      <c r="D401">
        <v>6000</v>
      </c>
      <c r="E401">
        <v>300</v>
      </c>
      <c r="F401">
        <v>1380</v>
      </c>
      <c r="G401">
        <v>7400</v>
      </c>
      <c r="H401">
        <f xml:space="preserve"> Table1[[#This Row],[Gross_Revenue]]-Table1[[#This Row],[Refunds]]</f>
        <v>5700</v>
      </c>
      <c r="I401" s="2">
        <f xml:space="preserve"> Table1[[#This Row],[Net Revenue]]/Table1[[#This Row],[Marketing_Spend]]</f>
        <v>4.1304347826086953</v>
      </c>
      <c r="J401" s="2">
        <f>Table1[[#This Row],[Marketing_Spend]]/Table1[[#This Row],[Web_Traffic]]</f>
        <v>0.1864864864864865</v>
      </c>
    </row>
    <row r="402" spans="1:10" x14ac:dyDescent="0.3">
      <c r="A402" s="1">
        <v>45858</v>
      </c>
      <c r="B402" t="s">
        <v>7</v>
      </c>
      <c r="C402" t="s">
        <v>8</v>
      </c>
      <c r="D402">
        <v>6450</v>
      </c>
      <c r="E402">
        <v>322</v>
      </c>
      <c r="F402">
        <v>1090</v>
      </c>
      <c r="G402">
        <v>6150</v>
      </c>
      <c r="H402">
        <f xml:space="preserve"> Table1[[#This Row],[Gross_Revenue]]-Table1[[#This Row],[Refunds]]</f>
        <v>6128</v>
      </c>
      <c r="I402" s="2">
        <f xml:space="preserve"> Table1[[#This Row],[Net Revenue]]/Table1[[#This Row],[Marketing_Spend]]</f>
        <v>5.6220183486238531</v>
      </c>
      <c r="J402" s="2">
        <f>Table1[[#This Row],[Marketing_Spend]]/Table1[[#This Row],[Web_Traffic]]</f>
        <v>0.17723577235772359</v>
      </c>
    </row>
    <row r="403" spans="1:10" x14ac:dyDescent="0.3">
      <c r="A403" s="1">
        <v>45858</v>
      </c>
      <c r="B403" t="s">
        <v>9</v>
      </c>
      <c r="C403" t="s">
        <v>10</v>
      </c>
      <c r="D403">
        <v>6050</v>
      </c>
      <c r="E403">
        <v>302</v>
      </c>
      <c r="F403">
        <v>1390</v>
      </c>
      <c r="G403">
        <v>7450</v>
      </c>
      <c r="H403">
        <f xml:space="preserve"> Table1[[#This Row],[Gross_Revenue]]-Table1[[#This Row],[Refunds]]</f>
        <v>5748</v>
      </c>
      <c r="I403" s="2">
        <f xml:space="preserve"> Table1[[#This Row],[Net Revenue]]/Table1[[#This Row],[Marketing_Spend]]</f>
        <v>4.1352517985611508</v>
      </c>
      <c r="J403" s="2">
        <f>Table1[[#This Row],[Marketing_Spend]]/Table1[[#This Row],[Web_Traffic]]</f>
        <v>0.18657718120805369</v>
      </c>
    </row>
    <row r="404" spans="1:10" x14ac:dyDescent="0.3">
      <c r="A404" s="1">
        <v>45859</v>
      </c>
      <c r="B404" t="s">
        <v>7</v>
      </c>
      <c r="C404" t="s">
        <v>8</v>
      </c>
      <c r="D404">
        <v>6500</v>
      </c>
      <c r="E404">
        <v>325</v>
      </c>
      <c r="F404">
        <v>1100</v>
      </c>
      <c r="G404">
        <v>6200</v>
      </c>
      <c r="H404">
        <f xml:space="preserve"> Table1[[#This Row],[Gross_Revenue]]-Table1[[#This Row],[Refunds]]</f>
        <v>6175</v>
      </c>
      <c r="I404" s="2">
        <f xml:space="preserve"> Table1[[#This Row],[Net Revenue]]/Table1[[#This Row],[Marketing_Spend]]</f>
        <v>5.6136363636363633</v>
      </c>
      <c r="J404" s="2">
        <f>Table1[[#This Row],[Marketing_Spend]]/Table1[[#This Row],[Web_Traffic]]</f>
        <v>0.17741935483870969</v>
      </c>
    </row>
    <row r="405" spans="1:10" x14ac:dyDescent="0.3">
      <c r="A405" s="1">
        <v>45859</v>
      </c>
      <c r="B405" t="s">
        <v>9</v>
      </c>
      <c r="C405" t="s">
        <v>10</v>
      </c>
      <c r="D405">
        <v>6100</v>
      </c>
      <c r="E405">
        <v>305</v>
      </c>
      <c r="F405">
        <v>1400</v>
      </c>
      <c r="G405">
        <v>7500</v>
      </c>
      <c r="H405">
        <f xml:space="preserve"> Table1[[#This Row],[Gross_Revenue]]-Table1[[#This Row],[Refunds]]</f>
        <v>5795</v>
      </c>
      <c r="I405" s="2">
        <f xml:space="preserve"> Table1[[#This Row],[Net Revenue]]/Table1[[#This Row],[Marketing_Spend]]</f>
        <v>4.1392857142857142</v>
      </c>
      <c r="J405" s="2">
        <f>Table1[[#This Row],[Marketing_Spend]]/Table1[[#This Row],[Web_Traffic]]</f>
        <v>0.18666666666666668</v>
      </c>
    </row>
    <row r="406" spans="1:10" x14ac:dyDescent="0.3">
      <c r="A406" s="1">
        <v>45860</v>
      </c>
      <c r="B406" t="s">
        <v>7</v>
      </c>
      <c r="C406" t="s">
        <v>8</v>
      </c>
      <c r="D406">
        <v>6550</v>
      </c>
      <c r="E406">
        <v>327</v>
      </c>
      <c r="F406">
        <v>1110</v>
      </c>
      <c r="G406">
        <v>6250</v>
      </c>
      <c r="H406">
        <f xml:space="preserve"> Table1[[#This Row],[Gross_Revenue]]-Table1[[#This Row],[Refunds]]</f>
        <v>6223</v>
      </c>
      <c r="I406" s="2">
        <f xml:space="preserve"> Table1[[#This Row],[Net Revenue]]/Table1[[#This Row],[Marketing_Spend]]</f>
        <v>5.6063063063063066</v>
      </c>
      <c r="J406" s="2">
        <f>Table1[[#This Row],[Marketing_Spend]]/Table1[[#This Row],[Web_Traffic]]</f>
        <v>0.17760000000000001</v>
      </c>
    </row>
    <row r="407" spans="1:10" x14ac:dyDescent="0.3">
      <c r="A407" s="1">
        <v>45860</v>
      </c>
      <c r="B407" t="s">
        <v>9</v>
      </c>
      <c r="C407" t="s">
        <v>10</v>
      </c>
      <c r="D407">
        <v>6150</v>
      </c>
      <c r="E407">
        <v>307</v>
      </c>
      <c r="F407">
        <v>1410</v>
      </c>
      <c r="G407">
        <v>7550</v>
      </c>
      <c r="H407">
        <f xml:space="preserve"> Table1[[#This Row],[Gross_Revenue]]-Table1[[#This Row],[Refunds]]</f>
        <v>5843</v>
      </c>
      <c r="I407" s="2">
        <f xml:space="preserve"> Table1[[#This Row],[Net Revenue]]/Table1[[#This Row],[Marketing_Spend]]</f>
        <v>4.143971631205674</v>
      </c>
      <c r="J407" s="2">
        <f>Table1[[#This Row],[Marketing_Spend]]/Table1[[#This Row],[Web_Traffic]]</f>
        <v>0.18675496688741722</v>
      </c>
    </row>
    <row r="408" spans="1:10" x14ac:dyDescent="0.3">
      <c r="A408" s="1">
        <v>45861</v>
      </c>
      <c r="B408" t="s">
        <v>7</v>
      </c>
      <c r="C408" t="s">
        <v>8</v>
      </c>
      <c r="D408">
        <v>6600</v>
      </c>
      <c r="E408">
        <v>330</v>
      </c>
      <c r="F408">
        <v>1120</v>
      </c>
      <c r="G408">
        <v>6300</v>
      </c>
      <c r="H408">
        <f xml:space="preserve"> Table1[[#This Row],[Gross_Revenue]]-Table1[[#This Row],[Refunds]]</f>
        <v>6270</v>
      </c>
      <c r="I408" s="2">
        <f xml:space="preserve"> Table1[[#This Row],[Net Revenue]]/Table1[[#This Row],[Marketing_Spend]]</f>
        <v>5.5982142857142856</v>
      </c>
      <c r="J408" s="2">
        <f>Table1[[#This Row],[Marketing_Spend]]/Table1[[#This Row],[Web_Traffic]]</f>
        <v>0.17777777777777778</v>
      </c>
    </row>
    <row r="409" spans="1:10" x14ac:dyDescent="0.3">
      <c r="A409" s="1">
        <v>45861</v>
      </c>
      <c r="B409" t="s">
        <v>9</v>
      </c>
      <c r="C409" t="s">
        <v>10</v>
      </c>
      <c r="D409">
        <v>6200</v>
      </c>
      <c r="E409">
        <v>310</v>
      </c>
      <c r="F409">
        <v>1420</v>
      </c>
      <c r="G409">
        <v>7600</v>
      </c>
      <c r="H409">
        <f xml:space="preserve"> Table1[[#This Row],[Gross_Revenue]]-Table1[[#This Row],[Refunds]]</f>
        <v>5890</v>
      </c>
      <c r="I409" s="2">
        <f xml:space="preserve"> Table1[[#This Row],[Net Revenue]]/Table1[[#This Row],[Marketing_Spend]]</f>
        <v>4.147887323943662</v>
      </c>
      <c r="J409" s="2">
        <f>Table1[[#This Row],[Marketing_Spend]]/Table1[[#This Row],[Web_Traffic]]</f>
        <v>0.18684210526315789</v>
      </c>
    </row>
    <row r="410" spans="1:10" x14ac:dyDescent="0.3">
      <c r="A410" s="1">
        <v>45862</v>
      </c>
      <c r="B410" t="s">
        <v>7</v>
      </c>
      <c r="C410" t="s">
        <v>8</v>
      </c>
      <c r="D410">
        <v>6650</v>
      </c>
      <c r="E410">
        <v>332</v>
      </c>
      <c r="F410">
        <v>1130</v>
      </c>
      <c r="G410">
        <v>6350</v>
      </c>
      <c r="H410">
        <f xml:space="preserve"> Table1[[#This Row],[Gross_Revenue]]-Table1[[#This Row],[Refunds]]</f>
        <v>6318</v>
      </c>
      <c r="I410" s="2">
        <f xml:space="preserve"> Table1[[#This Row],[Net Revenue]]/Table1[[#This Row],[Marketing_Spend]]</f>
        <v>5.5911504424778764</v>
      </c>
      <c r="J410" s="2">
        <f>Table1[[#This Row],[Marketing_Spend]]/Table1[[#This Row],[Web_Traffic]]</f>
        <v>0.17795275590551182</v>
      </c>
    </row>
    <row r="411" spans="1:10" x14ac:dyDescent="0.3">
      <c r="A411" s="1">
        <v>45862</v>
      </c>
      <c r="B411" t="s">
        <v>9</v>
      </c>
      <c r="C411" t="s">
        <v>10</v>
      </c>
      <c r="D411">
        <v>6250</v>
      </c>
      <c r="E411">
        <v>312</v>
      </c>
      <c r="F411">
        <v>1430</v>
      </c>
      <c r="G411">
        <v>7650</v>
      </c>
      <c r="H411">
        <f xml:space="preserve"> Table1[[#This Row],[Gross_Revenue]]-Table1[[#This Row],[Refunds]]</f>
        <v>5938</v>
      </c>
      <c r="I411" s="2">
        <f xml:space="preserve"> Table1[[#This Row],[Net Revenue]]/Table1[[#This Row],[Marketing_Spend]]</f>
        <v>4.1524475524475521</v>
      </c>
      <c r="J411" s="2">
        <f>Table1[[#This Row],[Marketing_Spend]]/Table1[[#This Row],[Web_Traffic]]</f>
        <v>0.1869281045751634</v>
      </c>
    </row>
    <row r="412" spans="1:10" x14ac:dyDescent="0.3">
      <c r="A412" s="1">
        <v>45863</v>
      </c>
      <c r="B412" t="s">
        <v>7</v>
      </c>
      <c r="C412" t="s">
        <v>8</v>
      </c>
      <c r="D412">
        <v>6700</v>
      </c>
      <c r="E412">
        <v>335</v>
      </c>
      <c r="F412">
        <v>1140</v>
      </c>
      <c r="G412">
        <v>6400</v>
      </c>
      <c r="H412">
        <f xml:space="preserve"> Table1[[#This Row],[Gross_Revenue]]-Table1[[#This Row],[Refunds]]</f>
        <v>6365</v>
      </c>
      <c r="I412" s="2">
        <f xml:space="preserve"> Table1[[#This Row],[Net Revenue]]/Table1[[#This Row],[Marketing_Spend]]</f>
        <v>5.583333333333333</v>
      </c>
      <c r="J412" s="2">
        <f>Table1[[#This Row],[Marketing_Spend]]/Table1[[#This Row],[Web_Traffic]]</f>
        <v>0.17812500000000001</v>
      </c>
    </row>
    <row r="413" spans="1:10" x14ac:dyDescent="0.3">
      <c r="A413" s="1">
        <v>45863</v>
      </c>
      <c r="B413" t="s">
        <v>9</v>
      </c>
      <c r="C413" t="s">
        <v>10</v>
      </c>
      <c r="D413">
        <v>6300</v>
      </c>
      <c r="E413">
        <v>315</v>
      </c>
      <c r="F413">
        <v>1440</v>
      </c>
      <c r="G413">
        <v>7700</v>
      </c>
      <c r="H413">
        <f xml:space="preserve"> Table1[[#This Row],[Gross_Revenue]]-Table1[[#This Row],[Refunds]]</f>
        <v>5985</v>
      </c>
      <c r="I413" s="2">
        <f xml:space="preserve"> Table1[[#This Row],[Net Revenue]]/Table1[[#This Row],[Marketing_Spend]]</f>
        <v>4.15625</v>
      </c>
      <c r="J413" s="2">
        <f>Table1[[#This Row],[Marketing_Spend]]/Table1[[#This Row],[Web_Traffic]]</f>
        <v>0.18701298701298702</v>
      </c>
    </row>
    <row r="414" spans="1:10" x14ac:dyDescent="0.3">
      <c r="A414" s="1">
        <v>45864</v>
      </c>
      <c r="B414" t="s">
        <v>7</v>
      </c>
      <c r="C414" t="s">
        <v>8</v>
      </c>
      <c r="D414">
        <v>6750</v>
      </c>
      <c r="E414">
        <v>337</v>
      </c>
      <c r="F414">
        <v>1150</v>
      </c>
      <c r="G414">
        <v>6450</v>
      </c>
      <c r="H414">
        <f xml:space="preserve"> Table1[[#This Row],[Gross_Revenue]]-Table1[[#This Row],[Refunds]]</f>
        <v>6413</v>
      </c>
      <c r="I414" s="2">
        <f xml:space="preserve"> Table1[[#This Row],[Net Revenue]]/Table1[[#This Row],[Marketing_Spend]]</f>
        <v>5.5765217391304347</v>
      </c>
      <c r="J414" s="2">
        <f>Table1[[#This Row],[Marketing_Spend]]/Table1[[#This Row],[Web_Traffic]]</f>
        <v>0.17829457364341086</v>
      </c>
    </row>
    <row r="415" spans="1:10" x14ac:dyDescent="0.3">
      <c r="A415" s="1">
        <v>45864</v>
      </c>
      <c r="B415" t="s">
        <v>9</v>
      </c>
      <c r="C415" t="s">
        <v>10</v>
      </c>
      <c r="D415">
        <v>6350</v>
      </c>
      <c r="E415">
        <v>317</v>
      </c>
      <c r="F415">
        <v>1450</v>
      </c>
      <c r="G415">
        <v>7750</v>
      </c>
      <c r="H415">
        <f xml:space="preserve"> Table1[[#This Row],[Gross_Revenue]]-Table1[[#This Row],[Refunds]]</f>
        <v>6033</v>
      </c>
      <c r="I415" s="2">
        <f xml:space="preserve"> Table1[[#This Row],[Net Revenue]]/Table1[[#This Row],[Marketing_Spend]]</f>
        <v>4.1606896551724137</v>
      </c>
      <c r="J415" s="2">
        <f>Table1[[#This Row],[Marketing_Spend]]/Table1[[#This Row],[Web_Traffic]]</f>
        <v>0.18709677419354839</v>
      </c>
    </row>
    <row r="416" spans="1:10" x14ac:dyDescent="0.3">
      <c r="A416" s="1">
        <v>45865</v>
      </c>
      <c r="B416" t="s">
        <v>7</v>
      </c>
      <c r="C416" t="s">
        <v>8</v>
      </c>
      <c r="D416">
        <v>6800</v>
      </c>
      <c r="E416">
        <v>340</v>
      </c>
      <c r="F416">
        <v>1160</v>
      </c>
      <c r="G416">
        <v>6500</v>
      </c>
      <c r="H416">
        <f xml:space="preserve"> Table1[[#This Row],[Gross_Revenue]]-Table1[[#This Row],[Refunds]]</f>
        <v>6460</v>
      </c>
      <c r="I416" s="2">
        <f xml:space="preserve"> Table1[[#This Row],[Net Revenue]]/Table1[[#This Row],[Marketing_Spend]]</f>
        <v>5.568965517241379</v>
      </c>
      <c r="J416" s="2">
        <f>Table1[[#This Row],[Marketing_Spend]]/Table1[[#This Row],[Web_Traffic]]</f>
        <v>0.17846153846153845</v>
      </c>
    </row>
    <row r="417" spans="1:10" x14ac:dyDescent="0.3">
      <c r="A417" s="1">
        <v>45865</v>
      </c>
      <c r="B417" t="s">
        <v>9</v>
      </c>
      <c r="C417" t="s">
        <v>10</v>
      </c>
      <c r="D417">
        <v>6400</v>
      </c>
      <c r="E417">
        <v>320</v>
      </c>
      <c r="F417">
        <v>1460</v>
      </c>
      <c r="G417">
        <v>7800</v>
      </c>
      <c r="H417">
        <f xml:space="preserve"> Table1[[#This Row],[Gross_Revenue]]-Table1[[#This Row],[Refunds]]</f>
        <v>6080</v>
      </c>
      <c r="I417" s="2">
        <f xml:space="preserve"> Table1[[#This Row],[Net Revenue]]/Table1[[#This Row],[Marketing_Spend]]</f>
        <v>4.1643835616438354</v>
      </c>
      <c r="J417" s="2">
        <f>Table1[[#This Row],[Marketing_Spend]]/Table1[[#This Row],[Web_Traffic]]</f>
        <v>0.18717948717948718</v>
      </c>
    </row>
    <row r="418" spans="1:10" x14ac:dyDescent="0.3">
      <c r="A418" s="1">
        <v>45866</v>
      </c>
      <c r="B418" t="s">
        <v>7</v>
      </c>
      <c r="C418" t="s">
        <v>8</v>
      </c>
      <c r="D418">
        <v>6850</v>
      </c>
      <c r="E418">
        <v>342</v>
      </c>
      <c r="F418">
        <v>1170</v>
      </c>
      <c r="G418">
        <v>6550</v>
      </c>
      <c r="H418">
        <f xml:space="preserve"> Table1[[#This Row],[Gross_Revenue]]-Table1[[#This Row],[Refunds]]</f>
        <v>6508</v>
      </c>
      <c r="I418" s="2">
        <f xml:space="preserve"> Table1[[#This Row],[Net Revenue]]/Table1[[#This Row],[Marketing_Spend]]</f>
        <v>5.5623931623931622</v>
      </c>
      <c r="J418" s="2">
        <f>Table1[[#This Row],[Marketing_Spend]]/Table1[[#This Row],[Web_Traffic]]</f>
        <v>0.17862595419847327</v>
      </c>
    </row>
    <row r="419" spans="1:10" x14ac:dyDescent="0.3">
      <c r="A419" s="1">
        <v>45866</v>
      </c>
      <c r="B419" t="s">
        <v>9</v>
      </c>
      <c r="C419" t="s">
        <v>10</v>
      </c>
      <c r="D419">
        <v>6450</v>
      </c>
      <c r="E419">
        <v>322</v>
      </c>
      <c r="F419">
        <v>1470</v>
      </c>
      <c r="G419">
        <v>7850</v>
      </c>
      <c r="H419">
        <f xml:space="preserve"> Table1[[#This Row],[Gross_Revenue]]-Table1[[#This Row],[Refunds]]</f>
        <v>6128</v>
      </c>
      <c r="I419" s="2">
        <f xml:space="preserve"> Table1[[#This Row],[Net Revenue]]/Table1[[#This Row],[Marketing_Spend]]</f>
        <v>4.1687074829931969</v>
      </c>
      <c r="J419" s="2">
        <f>Table1[[#This Row],[Marketing_Spend]]/Table1[[#This Row],[Web_Traffic]]</f>
        <v>0.18726114649681527</v>
      </c>
    </row>
    <row r="420" spans="1:10" x14ac:dyDescent="0.3">
      <c r="A420" s="1">
        <v>45867</v>
      </c>
      <c r="B420" t="s">
        <v>7</v>
      </c>
      <c r="C420" t="s">
        <v>8</v>
      </c>
      <c r="D420">
        <v>6900</v>
      </c>
      <c r="E420">
        <v>345</v>
      </c>
      <c r="F420">
        <v>1180</v>
      </c>
      <c r="G420">
        <v>6600</v>
      </c>
      <c r="H420">
        <f xml:space="preserve"> Table1[[#This Row],[Gross_Revenue]]-Table1[[#This Row],[Refunds]]</f>
        <v>6555</v>
      </c>
      <c r="I420" s="2">
        <f xml:space="preserve"> Table1[[#This Row],[Net Revenue]]/Table1[[#This Row],[Marketing_Spend]]</f>
        <v>5.5550847457627119</v>
      </c>
      <c r="J420" s="2">
        <f>Table1[[#This Row],[Marketing_Spend]]/Table1[[#This Row],[Web_Traffic]]</f>
        <v>0.1787878787878788</v>
      </c>
    </row>
    <row r="421" spans="1:10" x14ac:dyDescent="0.3">
      <c r="A421" s="1">
        <v>45867</v>
      </c>
      <c r="B421" t="s">
        <v>9</v>
      </c>
      <c r="C421" t="s">
        <v>10</v>
      </c>
      <c r="D421">
        <v>6500</v>
      </c>
      <c r="E421">
        <v>325</v>
      </c>
      <c r="F421">
        <v>1480</v>
      </c>
      <c r="G421">
        <v>7900</v>
      </c>
      <c r="H421">
        <f xml:space="preserve"> Table1[[#This Row],[Gross_Revenue]]-Table1[[#This Row],[Refunds]]</f>
        <v>6175</v>
      </c>
      <c r="I421" s="2">
        <f xml:space="preserve"> Table1[[#This Row],[Net Revenue]]/Table1[[#This Row],[Marketing_Spend]]</f>
        <v>4.1722972972972974</v>
      </c>
      <c r="J421" s="2">
        <f>Table1[[#This Row],[Marketing_Spend]]/Table1[[#This Row],[Web_Traffic]]</f>
        <v>0.18734177215189873</v>
      </c>
    </row>
    <row r="422" spans="1:10" x14ac:dyDescent="0.3">
      <c r="A422" s="1">
        <v>45868</v>
      </c>
      <c r="B422" t="s">
        <v>7</v>
      </c>
      <c r="C422" t="s">
        <v>8</v>
      </c>
      <c r="D422">
        <v>6950</v>
      </c>
      <c r="E422">
        <v>347</v>
      </c>
      <c r="F422">
        <v>1190</v>
      </c>
      <c r="G422">
        <v>6650</v>
      </c>
      <c r="H422">
        <f xml:space="preserve"> Table1[[#This Row],[Gross_Revenue]]-Table1[[#This Row],[Refunds]]</f>
        <v>6603</v>
      </c>
      <c r="I422" s="2">
        <f xml:space="preserve"> Table1[[#This Row],[Net Revenue]]/Table1[[#This Row],[Marketing_Spend]]</f>
        <v>5.5487394957983192</v>
      </c>
      <c r="J422" s="2">
        <f>Table1[[#This Row],[Marketing_Spend]]/Table1[[#This Row],[Web_Traffic]]</f>
        <v>0.17894736842105263</v>
      </c>
    </row>
    <row r="423" spans="1:10" x14ac:dyDescent="0.3">
      <c r="A423" s="1">
        <v>45868</v>
      </c>
      <c r="B423" t="s">
        <v>9</v>
      </c>
      <c r="C423" t="s">
        <v>10</v>
      </c>
      <c r="D423">
        <v>6550</v>
      </c>
      <c r="E423">
        <v>327</v>
      </c>
      <c r="F423">
        <v>1490</v>
      </c>
      <c r="G423">
        <v>7950</v>
      </c>
      <c r="H423">
        <f xml:space="preserve"> Table1[[#This Row],[Gross_Revenue]]-Table1[[#This Row],[Refunds]]</f>
        <v>6223</v>
      </c>
      <c r="I423" s="2">
        <f xml:space="preserve"> Table1[[#This Row],[Net Revenue]]/Table1[[#This Row],[Marketing_Spend]]</f>
        <v>4.1765100671140942</v>
      </c>
      <c r="J423" s="2">
        <f>Table1[[#This Row],[Marketing_Spend]]/Table1[[#This Row],[Web_Traffic]]</f>
        <v>0.18742138364779873</v>
      </c>
    </row>
    <row r="424" spans="1:10" x14ac:dyDescent="0.3">
      <c r="A424" s="1">
        <v>45869</v>
      </c>
      <c r="B424" t="s">
        <v>7</v>
      </c>
      <c r="C424" t="s">
        <v>8</v>
      </c>
      <c r="D424">
        <v>7000</v>
      </c>
      <c r="E424">
        <v>350</v>
      </c>
      <c r="F424">
        <v>1200</v>
      </c>
      <c r="G424">
        <v>6700</v>
      </c>
      <c r="H424">
        <f xml:space="preserve"> Table1[[#This Row],[Gross_Revenue]]-Table1[[#This Row],[Refunds]]</f>
        <v>6650</v>
      </c>
      <c r="I424" s="2">
        <f xml:space="preserve"> Table1[[#This Row],[Net Revenue]]/Table1[[#This Row],[Marketing_Spend]]</f>
        <v>5.541666666666667</v>
      </c>
      <c r="J424" s="2">
        <f>Table1[[#This Row],[Marketing_Spend]]/Table1[[#This Row],[Web_Traffic]]</f>
        <v>0.17910447761194029</v>
      </c>
    </row>
    <row r="425" spans="1:10" x14ac:dyDescent="0.3">
      <c r="A425" s="1">
        <v>45869</v>
      </c>
      <c r="B425" t="s">
        <v>9</v>
      </c>
      <c r="C425" t="s">
        <v>10</v>
      </c>
      <c r="D425">
        <v>6600</v>
      </c>
      <c r="E425">
        <v>330</v>
      </c>
      <c r="F425">
        <v>1500</v>
      </c>
      <c r="G425">
        <v>8000</v>
      </c>
      <c r="H425">
        <f xml:space="preserve"> Table1[[#This Row],[Gross_Revenue]]-Table1[[#This Row],[Refunds]]</f>
        <v>6270</v>
      </c>
      <c r="I425" s="2">
        <f xml:space="preserve"> Table1[[#This Row],[Net Revenue]]/Table1[[#This Row],[Marketing_Spend]]</f>
        <v>4.18</v>
      </c>
      <c r="J425" s="2">
        <f>Table1[[#This Row],[Marketing_Spend]]/Table1[[#This Row],[Web_Traffic]]</f>
        <v>0.1875</v>
      </c>
    </row>
    <row r="426" spans="1:10" x14ac:dyDescent="0.3">
      <c r="A426" s="1">
        <v>45870</v>
      </c>
      <c r="B426" t="s">
        <v>7</v>
      </c>
      <c r="C426" t="s">
        <v>8</v>
      </c>
      <c r="D426">
        <v>7050</v>
      </c>
      <c r="E426">
        <v>352</v>
      </c>
      <c r="F426">
        <v>1210</v>
      </c>
      <c r="G426">
        <v>6750</v>
      </c>
      <c r="H426">
        <f xml:space="preserve"> Table1[[#This Row],[Gross_Revenue]]-Table1[[#This Row],[Refunds]]</f>
        <v>6698</v>
      </c>
      <c r="I426" s="2">
        <f xml:space="preserve"> Table1[[#This Row],[Net Revenue]]/Table1[[#This Row],[Marketing_Spend]]</f>
        <v>5.5355371900826444</v>
      </c>
      <c r="J426" s="2">
        <f>Table1[[#This Row],[Marketing_Spend]]/Table1[[#This Row],[Web_Traffic]]</f>
        <v>0.17925925925925926</v>
      </c>
    </row>
    <row r="427" spans="1:10" x14ac:dyDescent="0.3">
      <c r="A427" s="1">
        <v>45870</v>
      </c>
      <c r="B427" t="s">
        <v>9</v>
      </c>
      <c r="C427" t="s">
        <v>10</v>
      </c>
      <c r="D427">
        <v>6650</v>
      </c>
      <c r="E427">
        <v>332</v>
      </c>
      <c r="F427">
        <v>1510</v>
      </c>
      <c r="G427">
        <v>8050</v>
      </c>
      <c r="H427">
        <f xml:space="preserve"> Table1[[#This Row],[Gross_Revenue]]-Table1[[#This Row],[Refunds]]</f>
        <v>6318</v>
      </c>
      <c r="I427" s="2">
        <f xml:space="preserve"> Table1[[#This Row],[Net Revenue]]/Table1[[#This Row],[Marketing_Spend]]</f>
        <v>4.1841059602649002</v>
      </c>
      <c r="J427" s="2">
        <f>Table1[[#This Row],[Marketing_Spend]]/Table1[[#This Row],[Web_Traffic]]</f>
        <v>0.18757763975155278</v>
      </c>
    </row>
    <row r="428" spans="1:10" x14ac:dyDescent="0.3">
      <c r="A428" s="1">
        <v>45871</v>
      </c>
      <c r="B428" t="s">
        <v>7</v>
      </c>
      <c r="C428" t="s">
        <v>8</v>
      </c>
      <c r="D428">
        <v>7100</v>
      </c>
      <c r="E428">
        <v>355</v>
      </c>
      <c r="F428">
        <v>1220</v>
      </c>
      <c r="G428">
        <v>6800</v>
      </c>
      <c r="H428">
        <f xml:space="preserve"> Table1[[#This Row],[Gross_Revenue]]-Table1[[#This Row],[Refunds]]</f>
        <v>6745</v>
      </c>
      <c r="I428" s="2">
        <f xml:space="preserve"> Table1[[#This Row],[Net Revenue]]/Table1[[#This Row],[Marketing_Spend]]</f>
        <v>5.528688524590164</v>
      </c>
      <c r="J428" s="2">
        <f>Table1[[#This Row],[Marketing_Spend]]/Table1[[#This Row],[Web_Traffic]]</f>
        <v>0.17941176470588235</v>
      </c>
    </row>
    <row r="429" spans="1:10" x14ac:dyDescent="0.3">
      <c r="A429" s="1">
        <v>45871</v>
      </c>
      <c r="B429" t="s">
        <v>9</v>
      </c>
      <c r="C429" t="s">
        <v>10</v>
      </c>
      <c r="D429">
        <v>6700</v>
      </c>
      <c r="E429">
        <v>335</v>
      </c>
      <c r="F429">
        <v>1520</v>
      </c>
      <c r="G429">
        <v>8100</v>
      </c>
      <c r="H429">
        <f xml:space="preserve"> Table1[[#This Row],[Gross_Revenue]]-Table1[[#This Row],[Refunds]]</f>
        <v>6365</v>
      </c>
      <c r="I429" s="2">
        <f xml:space="preserve"> Table1[[#This Row],[Net Revenue]]/Table1[[#This Row],[Marketing_Spend]]</f>
        <v>4.1875</v>
      </c>
      <c r="J429" s="2">
        <f>Table1[[#This Row],[Marketing_Spend]]/Table1[[#This Row],[Web_Traffic]]</f>
        <v>0.18765432098765433</v>
      </c>
    </row>
    <row r="430" spans="1:10" x14ac:dyDescent="0.3">
      <c r="A430" s="1">
        <v>45872</v>
      </c>
      <c r="B430" t="s">
        <v>7</v>
      </c>
      <c r="C430" t="s">
        <v>8</v>
      </c>
      <c r="D430">
        <v>7150</v>
      </c>
      <c r="E430">
        <v>357</v>
      </c>
      <c r="F430">
        <v>1230</v>
      </c>
      <c r="G430">
        <v>6850</v>
      </c>
      <c r="H430">
        <f xml:space="preserve"> Table1[[#This Row],[Gross_Revenue]]-Table1[[#This Row],[Refunds]]</f>
        <v>6793</v>
      </c>
      <c r="I430" s="2">
        <f xml:space="preserve"> Table1[[#This Row],[Net Revenue]]/Table1[[#This Row],[Marketing_Spend]]</f>
        <v>5.5227642276422761</v>
      </c>
      <c r="J430" s="2">
        <f>Table1[[#This Row],[Marketing_Spend]]/Table1[[#This Row],[Web_Traffic]]</f>
        <v>0.17956204379562044</v>
      </c>
    </row>
    <row r="431" spans="1:10" x14ac:dyDescent="0.3">
      <c r="A431" s="1">
        <v>45872</v>
      </c>
      <c r="B431" t="s">
        <v>9</v>
      </c>
      <c r="C431" t="s">
        <v>10</v>
      </c>
      <c r="D431">
        <v>6750</v>
      </c>
      <c r="E431">
        <v>337</v>
      </c>
      <c r="F431">
        <v>1530</v>
      </c>
      <c r="G431">
        <v>8150</v>
      </c>
      <c r="H431">
        <f xml:space="preserve"> Table1[[#This Row],[Gross_Revenue]]-Table1[[#This Row],[Refunds]]</f>
        <v>6413</v>
      </c>
      <c r="I431" s="2">
        <f xml:space="preserve"> Table1[[#This Row],[Net Revenue]]/Table1[[#This Row],[Marketing_Spend]]</f>
        <v>4.1915032679738564</v>
      </c>
      <c r="J431" s="2">
        <f>Table1[[#This Row],[Marketing_Spend]]/Table1[[#This Row],[Web_Traffic]]</f>
        <v>0.18773006134969325</v>
      </c>
    </row>
    <row r="432" spans="1:10" x14ac:dyDescent="0.3">
      <c r="A432" s="1">
        <v>45873</v>
      </c>
      <c r="B432" t="s">
        <v>7</v>
      </c>
      <c r="C432" t="s">
        <v>8</v>
      </c>
      <c r="D432">
        <v>7200</v>
      </c>
      <c r="E432">
        <v>360</v>
      </c>
      <c r="F432">
        <v>1240</v>
      </c>
      <c r="G432">
        <v>6900</v>
      </c>
      <c r="H432">
        <f xml:space="preserve"> Table1[[#This Row],[Gross_Revenue]]-Table1[[#This Row],[Refunds]]</f>
        <v>6840</v>
      </c>
      <c r="I432" s="2">
        <f xml:space="preserve"> Table1[[#This Row],[Net Revenue]]/Table1[[#This Row],[Marketing_Spend]]</f>
        <v>5.5161290322580649</v>
      </c>
      <c r="J432" s="2">
        <f>Table1[[#This Row],[Marketing_Spend]]/Table1[[#This Row],[Web_Traffic]]</f>
        <v>0.17971014492753623</v>
      </c>
    </row>
    <row r="433" spans="1:10" x14ac:dyDescent="0.3">
      <c r="A433" s="1">
        <v>45873</v>
      </c>
      <c r="B433" t="s">
        <v>9</v>
      </c>
      <c r="C433" t="s">
        <v>10</v>
      </c>
      <c r="D433">
        <v>6800</v>
      </c>
      <c r="E433">
        <v>340</v>
      </c>
      <c r="F433">
        <v>1540</v>
      </c>
      <c r="G433">
        <v>8200</v>
      </c>
      <c r="H433">
        <f xml:space="preserve"> Table1[[#This Row],[Gross_Revenue]]-Table1[[#This Row],[Refunds]]</f>
        <v>6460</v>
      </c>
      <c r="I433" s="2">
        <f xml:space="preserve"> Table1[[#This Row],[Net Revenue]]/Table1[[#This Row],[Marketing_Spend]]</f>
        <v>4.1948051948051948</v>
      </c>
      <c r="J433" s="2">
        <f>Table1[[#This Row],[Marketing_Spend]]/Table1[[#This Row],[Web_Traffic]]</f>
        <v>0.18780487804878049</v>
      </c>
    </row>
    <row r="434" spans="1:10" x14ac:dyDescent="0.3">
      <c r="A434" s="1">
        <v>45874</v>
      </c>
      <c r="B434" t="s">
        <v>7</v>
      </c>
      <c r="C434" t="s">
        <v>8</v>
      </c>
      <c r="D434">
        <v>7250</v>
      </c>
      <c r="E434">
        <v>362</v>
      </c>
      <c r="F434">
        <v>1250</v>
      </c>
      <c r="G434">
        <v>6950</v>
      </c>
      <c r="H434">
        <f xml:space="preserve"> Table1[[#This Row],[Gross_Revenue]]-Table1[[#This Row],[Refunds]]</f>
        <v>6888</v>
      </c>
      <c r="I434" s="2">
        <f xml:space="preserve"> Table1[[#This Row],[Net Revenue]]/Table1[[#This Row],[Marketing_Spend]]</f>
        <v>5.5103999999999997</v>
      </c>
      <c r="J434" s="2">
        <f>Table1[[#This Row],[Marketing_Spend]]/Table1[[#This Row],[Web_Traffic]]</f>
        <v>0.17985611510791366</v>
      </c>
    </row>
    <row r="435" spans="1:10" x14ac:dyDescent="0.3">
      <c r="A435" s="1">
        <v>45874</v>
      </c>
      <c r="B435" t="s">
        <v>9</v>
      </c>
      <c r="C435" t="s">
        <v>10</v>
      </c>
      <c r="D435">
        <v>6850</v>
      </c>
      <c r="E435">
        <v>342</v>
      </c>
      <c r="F435">
        <v>1550</v>
      </c>
      <c r="G435">
        <v>8250</v>
      </c>
      <c r="H435">
        <f xml:space="preserve"> Table1[[#This Row],[Gross_Revenue]]-Table1[[#This Row],[Refunds]]</f>
        <v>6508</v>
      </c>
      <c r="I435" s="2">
        <f xml:space="preserve"> Table1[[#This Row],[Net Revenue]]/Table1[[#This Row],[Marketing_Spend]]</f>
        <v>4.1987096774193544</v>
      </c>
      <c r="J435" s="2">
        <f>Table1[[#This Row],[Marketing_Spend]]/Table1[[#This Row],[Web_Traffic]]</f>
        <v>0.18787878787878787</v>
      </c>
    </row>
    <row r="436" spans="1:10" x14ac:dyDescent="0.3">
      <c r="A436" s="1">
        <v>45875</v>
      </c>
      <c r="B436" t="s">
        <v>7</v>
      </c>
      <c r="C436" t="s">
        <v>8</v>
      </c>
      <c r="D436">
        <v>7300</v>
      </c>
      <c r="E436">
        <v>365</v>
      </c>
      <c r="F436">
        <v>1260</v>
      </c>
      <c r="G436">
        <v>7000</v>
      </c>
      <c r="H436">
        <f xml:space="preserve"> Table1[[#This Row],[Gross_Revenue]]-Table1[[#This Row],[Refunds]]</f>
        <v>6935</v>
      </c>
      <c r="I436" s="2">
        <f xml:space="preserve"> Table1[[#This Row],[Net Revenue]]/Table1[[#This Row],[Marketing_Spend]]</f>
        <v>5.503968253968254</v>
      </c>
      <c r="J436" s="2">
        <f>Table1[[#This Row],[Marketing_Spend]]/Table1[[#This Row],[Web_Traffic]]</f>
        <v>0.18</v>
      </c>
    </row>
    <row r="437" spans="1:10" x14ac:dyDescent="0.3">
      <c r="A437" s="1">
        <v>45875</v>
      </c>
      <c r="B437" t="s">
        <v>9</v>
      </c>
      <c r="C437" t="s">
        <v>10</v>
      </c>
      <c r="D437">
        <v>6900</v>
      </c>
      <c r="E437">
        <v>345</v>
      </c>
      <c r="F437">
        <v>1560</v>
      </c>
      <c r="G437">
        <v>8300</v>
      </c>
      <c r="H437">
        <f xml:space="preserve"> Table1[[#This Row],[Gross_Revenue]]-Table1[[#This Row],[Refunds]]</f>
        <v>6555</v>
      </c>
      <c r="I437" s="2">
        <f xml:space="preserve"> Table1[[#This Row],[Net Revenue]]/Table1[[#This Row],[Marketing_Spend]]</f>
        <v>4.2019230769230766</v>
      </c>
      <c r="J437" s="2">
        <f>Table1[[#This Row],[Marketing_Spend]]/Table1[[#This Row],[Web_Traffic]]</f>
        <v>0.18795180722891566</v>
      </c>
    </row>
    <row r="438" spans="1:10" x14ac:dyDescent="0.3">
      <c r="A438" s="1">
        <v>45876</v>
      </c>
      <c r="B438" t="s">
        <v>7</v>
      </c>
      <c r="C438" t="s">
        <v>8</v>
      </c>
      <c r="D438">
        <v>7350</v>
      </c>
      <c r="E438">
        <v>367</v>
      </c>
      <c r="F438">
        <v>1270</v>
      </c>
      <c r="G438">
        <v>7050</v>
      </c>
      <c r="H438">
        <f xml:space="preserve"> Table1[[#This Row],[Gross_Revenue]]-Table1[[#This Row],[Refunds]]</f>
        <v>6983</v>
      </c>
      <c r="I438" s="2">
        <f xml:space="preserve"> Table1[[#This Row],[Net Revenue]]/Table1[[#This Row],[Marketing_Spend]]</f>
        <v>5.4984251968503939</v>
      </c>
      <c r="J438" s="2">
        <f>Table1[[#This Row],[Marketing_Spend]]/Table1[[#This Row],[Web_Traffic]]</f>
        <v>0.18014184397163122</v>
      </c>
    </row>
    <row r="439" spans="1:10" x14ac:dyDescent="0.3">
      <c r="A439" s="1">
        <v>45876</v>
      </c>
      <c r="B439" t="s">
        <v>9</v>
      </c>
      <c r="C439" t="s">
        <v>10</v>
      </c>
      <c r="D439">
        <v>6950</v>
      </c>
      <c r="E439">
        <v>347</v>
      </c>
      <c r="F439">
        <v>1570</v>
      </c>
      <c r="G439">
        <v>8350</v>
      </c>
      <c r="H439">
        <f xml:space="preserve"> Table1[[#This Row],[Gross_Revenue]]-Table1[[#This Row],[Refunds]]</f>
        <v>6603</v>
      </c>
      <c r="I439" s="2">
        <f xml:space="preserve"> Table1[[#This Row],[Net Revenue]]/Table1[[#This Row],[Marketing_Spend]]</f>
        <v>4.2057324840764334</v>
      </c>
      <c r="J439" s="2">
        <f>Table1[[#This Row],[Marketing_Spend]]/Table1[[#This Row],[Web_Traffic]]</f>
        <v>0.18802395209580838</v>
      </c>
    </row>
    <row r="440" spans="1:10" x14ac:dyDescent="0.3">
      <c r="A440" s="1">
        <v>45877</v>
      </c>
      <c r="B440" t="s">
        <v>7</v>
      </c>
      <c r="C440" t="s">
        <v>8</v>
      </c>
      <c r="D440">
        <v>7400</v>
      </c>
      <c r="E440">
        <v>370</v>
      </c>
      <c r="F440">
        <v>1280</v>
      </c>
      <c r="G440">
        <v>7100</v>
      </c>
      <c r="H440">
        <f xml:space="preserve"> Table1[[#This Row],[Gross_Revenue]]-Table1[[#This Row],[Refunds]]</f>
        <v>7030</v>
      </c>
      <c r="I440" s="2">
        <f xml:space="preserve"> Table1[[#This Row],[Net Revenue]]/Table1[[#This Row],[Marketing_Spend]]</f>
        <v>5.4921875</v>
      </c>
      <c r="J440" s="2">
        <f>Table1[[#This Row],[Marketing_Spend]]/Table1[[#This Row],[Web_Traffic]]</f>
        <v>0.18028169014084508</v>
      </c>
    </row>
    <row r="441" spans="1:10" x14ac:dyDescent="0.3">
      <c r="A441" s="1">
        <v>45877</v>
      </c>
      <c r="B441" t="s">
        <v>9</v>
      </c>
      <c r="C441" t="s">
        <v>10</v>
      </c>
      <c r="D441">
        <v>7000</v>
      </c>
      <c r="E441">
        <v>350</v>
      </c>
      <c r="F441">
        <v>1580</v>
      </c>
      <c r="G441">
        <v>8400</v>
      </c>
      <c r="H441">
        <f xml:space="preserve"> Table1[[#This Row],[Gross_Revenue]]-Table1[[#This Row],[Refunds]]</f>
        <v>6650</v>
      </c>
      <c r="I441" s="2">
        <f xml:space="preserve"> Table1[[#This Row],[Net Revenue]]/Table1[[#This Row],[Marketing_Spend]]</f>
        <v>4.2088607594936711</v>
      </c>
      <c r="J441" s="2">
        <f>Table1[[#This Row],[Marketing_Spend]]/Table1[[#This Row],[Web_Traffic]]</f>
        <v>0.18809523809523809</v>
      </c>
    </row>
    <row r="442" spans="1:10" x14ac:dyDescent="0.3">
      <c r="A442" s="1">
        <v>45878</v>
      </c>
      <c r="B442" t="s">
        <v>7</v>
      </c>
      <c r="C442" t="s">
        <v>8</v>
      </c>
      <c r="D442">
        <v>7450</v>
      </c>
      <c r="E442">
        <v>372</v>
      </c>
      <c r="F442">
        <v>1290</v>
      </c>
      <c r="G442">
        <v>7150</v>
      </c>
      <c r="H442">
        <f xml:space="preserve"> Table1[[#This Row],[Gross_Revenue]]-Table1[[#This Row],[Refunds]]</f>
        <v>7078</v>
      </c>
      <c r="I442" s="2">
        <f xml:space="preserve"> Table1[[#This Row],[Net Revenue]]/Table1[[#This Row],[Marketing_Spend]]</f>
        <v>5.4868217054263564</v>
      </c>
      <c r="J442" s="2">
        <f>Table1[[#This Row],[Marketing_Spend]]/Table1[[#This Row],[Web_Traffic]]</f>
        <v>0.18041958041958042</v>
      </c>
    </row>
    <row r="443" spans="1:10" x14ac:dyDescent="0.3">
      <c r="A443" s="1">
        <v>45878</v>
      </c>
      <c r="B443" t="s">
        <v>9</v>
      </c>
      <c r="C443" t="s">
        <v>10</v>
      </c>
      <c r="D443">
        <v>7050</v>
      </c>
      <c r="E443">
        <v>352</v>
      </c>
      <c r="F443">
        <v>1590</v>
      </c>
      <c r="G443">
        <v>8450</v>
      </c>
      <c r="H443">
        <f xml:space="preserve"> Table1[[#This Row],[Gross_Revenue]]-Table1[[#This Row],[Refunds]]</f>
        <v>6698</v>
      </c>
      <c r="I443" s="2">
        <f xml:space="preserve"> Table1[[#This Row],[Net Revenue]]/Table1[[#This Row],[Marketing_Spend]]</f>
        <v>4.212578616352201</v>
      </c>
      <c r="J443" s="2">
        <f>Table1[[#This Row],[Marketing_Spend]]/Table1[[#This Row],[Web_Traffic]]</f>
        <v>0.18816568047337279</v>
      </c>
    </row>
    <row r="444" spans="1:10" x14ac:dyDescent="0.3">
      <c r="A444" s="1">
        <v>45879</v>
      </c>
      <c r="B444" t="s">
        <v>7</v>
      </c>
      <c r="C444" t="s">
        <v>8</v>
      </c>
      <c r="D444">
        <v>7500</v>
      </c>
      <c r="E444">
        <v>375</v>
      </c>
      <c r="F444">
        <v>1300</v>
      </c>
      <c r="G444">
        <v>7200</v>
      </c>
      <c r="H444">
        <f xml:space="preserve"> Table1[[#This Row],[Gross_Revenue]]-Table1[[#This Row],[Refunds]]</f>
        <v>7125</v>
      </c>
      <c r="I444" s="2">
        <f xml:space="preserve"> Table1[[#This Row],[Net Revenue]]/Table1[[#This Row],[Marketing_Spend]]</f>
        <v>5.4807692307692308</v>
      </c>
      <c r="J444" s="2">
        <f>Table1[[#This Row],[Marketing_Spend]]/Table1[[#This Row],[Web_Traffic]]</f>
        <v>0.18055555555555555</v>
      </c>
    </row>
    <row r="445" spans="1:10" x14ac:dyDescent="0.3">
      <c r="A445" s="1">
        <v>45879</v>
      </c>
      <c r="B445" t="s">
        <v>9</v>
      </c>
      <c r="C445" t="s">
        <v>10</v>
      </c>
      <c r="D445">
        <v>7100</v>
      </c>
      <c r="E445">
        <v>355</v>
      </c>
      <c r="F445">
        <v>1600</v>
      </c>
      <c r="G445">
        <v>8500</v>
      </c>
      <c r="H445">
        <f xml:space="preserve"> Table1[[#This Row],[Gross_Revenue]]-Table1[[#This Row],[Refunds]]</f>
        <v>6745</v>
      </c>
      <c r="I445" s="2">
        <f xml:space="preserve"> Table1[[#This Row],[Net Revenue]]/Table1[[#This Row],[Marketing_Spend]]</f>
        <v>4.2156250000000002</v>
      </c>
      <c r="J445" s="2">
        <f>Table1[[#This Row],[Marketing_Spend]]/Table1[[#This Row],[Web_Traffic]]</f>
        <v>0.18823529411764706</v>
      </c>
    </row>
    <row r="446" spans="1:10" x14ac:dyDescent="0.3">
      <c r="A446" s="1">
        <v>45880</v>
      </c>
      <c r="B446" t="s">
        <v>7</v>
      </c>
      <c r="C446" t="s">
        <v>8</v>
      </c>
      <c r="D446">
        <v>7550</v>
      </c>
      <c r="E446">
        <v>377</v>
      </c>
      <c r="F446">
        <v>1310</v>
      </c>
      <c r="G446">
        <v>7250</v>
      </c>
      <c r="H446">
        <f xml:space="preserve"> Table1[[#This Row],[Gross_Revenue]]-Table1[[#This Row],[Refunds]]</f>
        <v>7173</v>
      </c>
      <c r="I446" s="2">
        <f xml:space="preserve"> Table1[[#This Row],[Net Revenue]]/Table1[[#This Row],[Marketing_Spend]]</f>
        <v>5.4755725190839692</v>
      </c>
      <c r="J446" s="2">
        <f>Table1[[#This Row],[Marketing_Spend]]/Table1[[#This Row],[Web_Traffic]]</f>
        <v>0.18068965517241378</v>
      </c>
    </row>
    <row r="447" spans="1:10" x14ac:dyDescent="0.3">
      <c r="A447" s="1">
        <v>45880</v>
      </c>
      <c r="B447" t="s">
        <v>9</v>
      </c>
      <c r="C447" t="s">
        <v>10</v>
      </c>
      <c r="D447">
        <v>7150</v>
      </c>
      <c r="E447">
        <v>357</v>
      </c>
      <c r="F447">
        <v>1610</v>
      </c>
      <c r="G447">
        <v>8550</v>
      </c>
      <c r="H447">
        <f xml:space="preserve"> Table1[[#This Row],[Gross_Revenue]]-Table1[[#This Row],[Refunds]]</f>
        <v>6793</v>
      </c>
      <c r="I447" s="2">
        <f xml:space="preserve"> Table1[[#This Row],[Net Revenue]]/Table1[[#This Row],[Marketing_Spend]]</f>
        <v>4.2192546583850934</v>
      </c>
      <c r="J447" s="2">
        <f>Table1[[#This Row],[Marketing_Spend]]/Table1[[#This Row],[Web_Traffic]]</f>
        <v>0.18830409356725147</v>
      </c>
    </row>
    <row r="448" spans="1:10" x14ac:dyDescent="0.3">
      <c r="A448" s="1">
        <v>45881</v>
      </c>
      <c r="B448" t="s">
        <v>7</v>
      </c>
      <c r="C448" t="s">
        <v>8</v>
      </c>
      <c r="D448">
        <v>7600</v>
      </c>
      <c r="E448">
        <v>380</v>
      </c>
      <c r="F448">
        <v>1320</v>
      </c>
      <c r="G448">
        <v>7300</v>
      </c>
      <c r="H448">
        <f xml:space="preserve"> Table1[[#This Row],[Gross_Revenue]]-Table1[[#This Row],[Refunds]]</f>
        <v>7220</v>
      </c>
      <c r="I448" s="2">
        <f xml:space="preserve"> Table1[[#This Row],[Net Revenue]]/Table1[[#This Row],[Marketing_Spend]]</f>
        <v>5.4696969696969697</v>
      </c>
      <c r="J448" s="2">
        <f>Table1[[#This Row],[Marketing_Spend]]/Table1[[#This Row],[Web_Traffic]]</f>
        <v>0.18082191780821918</v>
      </c>
    </row>
    <row r="449" spans="1:10" x14ac:dyDescent="0.3">
      <c r="A449" s="1">
        <v>45881</v>
      </c>
      <c r="B449" t="s">
        <v>9</v>
      </c>
      <c r="C449" t="s">
        <v>10</v>
      </c>
      <c r="D449">
        <v>7200</v>
      </c>
      <c r="E449">
        <v>360</v>
      </c>
      <c r="F449">
        <v>1620</v>
      </c>
      <c r="G449">
        <v>8600</v>
      </c>
      <c r="H449">
        <f xml:space="preserve"> Table1[[#This Row],[Gross_Revenue]]-Table1[[#This Row],[Refunds]]</f>
        <v>6840</v>
      </c>
      <c r="I449" s="2">
        <f xml:space="preserve"> Table1[[#This Row],[Net Revenue]]/Table1[[#This Row],[Marketing_Spend]]</f>
        <v>4.2222222222222223</v>
      </c>
      <c r="J449" s="2">
        <f>Table1[[#This Row],[Marketing_Spend]]/Table1[[#This Row],[Web_Traffic]]</f>
        <v>0.1883720930232558</v>
      </c>
    </row>
    <row r="450" spans="1:10" x14ac:dyDescent="0.3">
      <c r="A450" s="1">
        <v>45882</v>
      </c>
      <c r="B450" t="s">
        <v>7</v>
      </c>
      <c r="C450" t="s">
        <v>8</v>
      </c>
      <c r="D450">
        <v>7650</v>
      </c>
      <c r="E450">
        <v>382</v>
      </c>
      <c r="F450">
        <v>1330</v>
      </c>
      <c r="G450">
        <v>7350</v>
      </c>
      <c r="H450">
        <f xml:space="preserve"> Table1[[#This Row],[Gross_Revenue]]-Table1[[#This Row],[Refunds]]</f>
        <v>7268</v>
      </c>
      <c r="I450" s="2">
        <f xml:space="preserve"> Table1[[#This Row],[Net Revenue]]/Table1[[#This Row],[Marketing_Spend]]</f>
        <v>5.4646616541353383</v>
      </c>
      <c r="J450" s="2">
        <f>Table1[[#This Row],[Marketing_Spend]]/Table1[[#This Row],[Web_Traffic]]</f>
        <v>0.18095238095238095</v>
      </c>
    </row>
    <row r="451" spans="1:10" x14ac:dyDescent="0.3">
      <c r="A451" s="1">
        <v>45882</v>
      </c>
      <c r="B451" t="s">
        <v>9</v>
      </c>
      <c r="C451" t="s">
        <v>10</v>
      </c>
      <c r="D451">
        <v>7250</v>
      </c>
      <c r="E451">
        <v>362</v>
      </c>
      <c r="F451">
        <v>1630</v>
      </c>
      <c r="G451">
        <v>8650</v>
      </c>
      <c r="H451">
        <f xml:space="preserve"> Table1[[#This Row],[Gross_Revenue]]-Table1[[#This Row],[Refunds]]</f>
        <v>6888</v>
      </c>
      <c r="I451" s="2">
        <f xml:space="preserve"> Table1[[#This Row],[Net Revenue]]/Table1[[#This Row],[Marketing_Spend]]</f>
        <v>4.2257668711656438</v>
      </c>
      <c r="J451" s="2">
        <f>Table1[[#This Row],[Marketing_Spend]]/Table1[[#This Row],[Web_Traffic]]</f>
        <v>0.18843930635838149</v>
      </c>
    </row>
    <row r="452" spans="1:10" x14ac:dyDescent="0.3">
      <c r="A452" s="1">
        <v>45883</v>
      </c>
      <c r="B452" t="s">
        <v>7</v>
      </c>
      <c r="C452" t="s">
        <v>8</v>
      </c>
      <c r="D452">
        <v>7700</v>
      </c>
      <c r="E452">
        <v>385</v>
      </c>
      <c r="F452">
        <v>1340</v>
      </c>
      <c r="G452">
        <v>7400</v>
      </c>
      <c r="H452">
        <f xml:space="preserve"> Table1[[#This Row],[Gross_Revenue]]-Table1[[#This Row],[Refunds]]</f>
        <v>7315</v>
      </c>
      <c r="I452" s="2">
        <f xml:space="preserve"> Table1[[#This Row],[Net Revenue]]/Table1[[#This Row],[Marketing_Spend]]</f>
        <v>5.4589552238805972</v>
      </c>
      <c r="J452" s="2">
        <f>Table1[[#This Row],[Marketing_Spend]]/Table1[[#This Row],[Web_Traffic]]</f>
        <v>0.18108108108108109</v>
      </c>
    </row>
    <row r="453" spans="1:10" x14ac:dyDescent="0.3">
      <c r="A453" s="1">
        <v>45883</v>
      </c>
      <c r="B453" t="s">
        <v>9</v>
      </c>
      <c r="C453" t="s">
        <v>10</v>
      </c>
      <c r="D453">
        <v>7300</v>
      </c>
      <c r="E453">
        <v>365</v>
      </c>
      <c r="F453">
        <v>1640</v>
      </c>
      <c r="G453">
        <v>8700</v>
      </c>
      <c r="H453">
        <f xml:space="preserve"> Table1[[#This Row],[Gross_Revenue]]-Table1[[#This Row],[Refunds]]</f>
        <v>6935</v>
      </c>
      <c r="I453" s="2">
        <f xml:space="preserve"> Table1[[#This Row],[Net Revenue]]/Table1[[#This Row],[Marketing_Spend]]</f>
        <v>4.2286585365853657</v>
      </c>
      <c r="J453" s="2">
        <f>Table1[[#This Row],[Marketing_Spend]]/Table1[[#This Row],[Web_Traffic]]</f>
        <v>0.18850574712643678</v>
      </c>
    </row>
    <row r="454" spans="1:10" x14ac:dyDescent="0.3">
      <c r="A454" s="1">
        <v>45884</v>
      </c>
      <c r="B454" t="s">
        <v>7</v>
      </c>
      <c r="C454" t="s">
        <v>8</v>
      </c>
      <c r="D454">
        <v>7750</v>
      </c>
      <c r="E454">
        <v>387</v>
      </c>
      <c r="F454">
        <v>1350</v>
      </c>
      <c r="G454">
        <v>7450</v>
      </c>
      <c r="H454">
        <f xml:space="preserve"> Table1[[#This Row],[Gross_Revenue]]-Table1[[#This Row],[Refunds]]</f>
        <v>7363</v>
      </c>
      <c r="I454" s="2">
        <f xml:space="preserve"> Table1[[#This Row],[Net Revenue]]/Table1[[#This Row],[Marketing_Spend]]</f>
        <v>5.4540740740740743</v>
      </c>
      <c r="J454" s="2">
        <f>Table1[[#This Row],[Marketing_Spend]]/Table1[[#This Row],[Web_Traffic]]</f>
        <v>0.18120805369127516</v>
      </c>
    </row>
    <row r="455" spans="1:10" x14ac:dyDescent="0.3">
      <c r="A455" s="1">
        <v>45884</v>
      </c>
      <c r="B455" t="s">
        <v>9</v>
      </c>
      <c r="C455" t="s">
        <v>10</v>
      </c>
      <c r="D455">
        <v>7350</v>
      </c>
      <c r="E455">
        <v>367</v>
      </c>
      <c r="F455">
        <v>1650</v>
      </c>
      <c r="G455">
        <v>8750</v>
      </c>
      <c r="H455">
        <f xml:space="preserve"> Table1[[#This Row],[Gross_Revenue]]-Table1[[#This Row],[Refunds]]</f>
        <v>6983</v>
      </c>
      <c r="I455" s="2">
        <f xml:space="preserve"> Table1[[#This Row],[Net Revenue]]/Table1[[#This Row],[Marketing_Spend]]</f>
        <v>4.2321212121212124</v>
      </c>
      <c r="J455" s="2">
        <f>Table1[[#This Row],[Marketing_Spend]]/Table1[[#This Row],[Web_Traffic]]</f>
        <v>0.18857142857142858</v>
      </c>
    </row>
    <row r="456" spans="1:10" x14ac:dyDescent="0.3">
      <c r="A456" s="1">
        <v>45885</v>
      </c>
      <c r="B456" t="s">
        <v>7</v>
      </c>
      <c r="C456" t="s">
        <v>8</v>
      </c>
      <c r="D456">
        <v>7800</v>
      </c>
      <c r="E456">
        <v>390</v>
      </c>
      <c r="F456">
        <v>1360</v>
      </c>
      <c r="G456">
        <v>7500</v>
      </c>
      <c r="H456">
        <f xml:space="preserve"> Table1[[#This Row],[Gross_Revenue]]-Table1[[#This Row],[Refunds]]</f>
        <v>7410</v>
      </c>
      <c r="I456" s="2">
        <f xml:space="preserve"> Table1[[#This Row],[Net Revenue]]/Table1[[#This Row],[Marketing_Spend]]</f>
        <v>5.4485294117647056</v>
      </c>
      <c r="J456" s="2">
        <f>Table1[[#This Row],[Marketing_Spend]]/Table1[[#This Row],[Web_Traffic]]</f>
        <v>0.18133333333333335</v>
      </c>
    </row>
    <row r="457" spans="1:10" x14ac:dyDescent="0.3">
      <c r="A457" s="1">
        <v>45885</v>
      </c>
      <c r="B457" t="s">
        <v>9</v>
      </c>
      <c r="C457" t="s">
        <v>10</v>
      </c>
      <c r="D457">
        <v>7400</v>
      </c>
      <c r="E457">
        <v>370</v>
      </c>
      <c r="F457">
        <v>1660</v>
      </c>
      <c r="G457">
        <v>8800</v>
      </c>
      <c r="H457">
        <f xml:space="preserve"> Table1[[#This Row],[Gross_Revenue]]-Table1[[#This Row],[Refunds]]</f>
        <v>7030</v>
      </c>
      <c r="I457" s="2">
        <f xml:space="preserve"> Table1[[#This Row],[Net Revenue]]/Table1[[#This Row],[Marketing_Spend]]</f>
        <v>4.2349397590361448</v>
      </c>
      <c r="J457" s="2">
        <f>Table1[[#This Row],[Marketing_Spend]]/Table1[[#This Row],[Web_Traffic]]</f>
        <v>0.18863636363636363</v>
      </c>
    </row>
    <row r="458" spans="1:10" x14ac:dyDescent="0.3">
      <c r="A458" s="1">
        <v>45886</v>
      </c>
      <c r="B458" t="s">
        <v>7</v>
      </c>
      <c r="C458" t="s">
        <v>8</v>
      </c>
      <c r="D458">
        <v>7850</v>
      </c>
      <c r="E458">
        <v>392</v>
      </c>
      <c r="F458">
        <v>1370</v>
      </c>
      <c r="G458">
        <v>7550</v>
      </c>
      <c r="H458">
        <f xml:space="preserve"> Table1[[#This Row],[Gross_Revenue]]-Table1[[#This Row],[Refunds]]</f>
        <v>7458</v>
      </c>
      <c r="I458" s="2">
        <f xml:space="preserve"> Table1[[#This Row],[Net Revenue]]/Table1[[#This Row],[Marketing_Spend]]</f>
        <v>5.4437956204379558</v>
      </c>
      <c r="J458" s="2">
        <f>Table1[[#This Row],[Marketing_Spend]]/Table1[[#This Row],[Web_Traffic]]</f>
        <v>0.18145695364238409</v>
      </c>
    </row>
    <row r="459" spans="1:10" x14ac:dyDescent="0.3">
      <c r="A459" s="1">
        <v>45886</v>
      </c>
      <c r="B459" t="s">
        <v>9</v>
      </c>
      <c r="C459" t="s">
        <v>10</v>
      </c>
      <c r="D459">
        <v>7450</v>
      </c>
      <c r="E459">
        <v>372</v>
      </c>
      <c r="F459">
        <v>1670</v>
      </c>
      <c r="G459">
        <v>8850</v>
      </c>
      <c r="H459">
        <f xml:space="preserve"> Table1[[#This Row],[Gross_Revenue]]-Table1[[#This Row],[Refunds]]</f>
        <v>7078</v>
      </c>
      <c r="I459" s="2">
        <f xml:space="preserve"> Table1[[#This Row],[Net Revenue]]/Table1[[#This Row],[Marketing_Spend]]</f>
        <v>4.2383233532934135</v>
      </c>
      <c r="J459" s="2">
        <f>Table1[[#This Row],[Marketing_Spend]]/Table1[[#This Row],[Web_Traffic]]</f>
        <v>0.18870056497175142</v>
      </c>
    </row>
    <row r="460" spans="1:10" x14ac:dyDescent="0.3">
      <c r="A460" s="1">
        <v>45887</v>
      </c>
      <c r="B460" t="s">
        <v>7</v>
      </c>
      <c r="C460" t="s">
        <v>8</v>
      </c>
      <c r="D460">
        <v>7900</v>
      </c>
      <c r="E460">
        <v>395</v>
      </c>
      <c r="F460">
        <v>1380</v>
      </c>
      <c r="G460">
        <v>7600</v>
      </c>
      <c r="H460">
        <f xml:space="preserve"> Table1[[#This Row],[Gross_Revenue]]-Table1[[#This Row],[Refunds]]</f>
        <v>7505</v>
      </c>
      <c r="I460" s="2">
        <f xml:space="preserve"> Table1[[#This Row],[Net Revenue]]/Table1[[#This Row],[Marketing_Spend]]</f>
        <v>5.4384057971014492</v>
      </c>
      <c r="J460" s="2">
        <f>Table1[[#This Row],[Marketing_Spend]]/Table1[[#This Row],[Web_Traffic]]</f>
        <v>0.18157894736842106</v>
      </c>
    </row>
    <row r="461" spans="1:10" x14ac:dyDescent="0.3">
      <c r="A461" s="1">
        <v>45887</v>
      </c>
      <c r="B461" t="s">
        <v>9</v>
      </c>
      <c r="C461" t="s">
        <v>10</v>
      </c>
      <c r="D461">
        <v>7500</v>
      </c>
      <c r="E461">
        <v>375</v>
      </c>
      <c r="F461">
        <v>1680</v>
      </c>
      <c r="G461">
        <v>8900</v>
      </c>
      <c r="H461">
        <f xml:space="preserve"> Table1[[#This Row],[Gross_Revenue]]-Table1[[#This Row],[Refunds]]</f>
        <v>7125</v>
      </c>
      <c r="I461" s="2">
        <f xml:space="preserve"> Table1[[#This Row],[Net Revenue]]/Table1[[#This Row],[Marketing_Spend]]</f>
        <v>4.2410714285714288</v>
      </c>
      <c r="J461" s="2">
        <f>Table1[[#This Row],[Marketing_Spend]]/Table1[[#This Row],[Web_Traffic]]</f>
        <v>0.18876404494382024</v>
      </c>
    </row>
    <row r="462" spans="1:10" x14ac:dyDescent="0.3">
      <c r="A462" s="1">
        <v>45888</v>
      </c>
      <c r="B462" t="s">
        <v>7</v>
      </c>
      <c r="C462" t="s">
        <v>8</v>
      </c>
      <c r="D462">
        <v>7950</v>
      </c>
      <c r="E462">
        <v>397</v>
      </c>
      <c r="F462">
        <v>1390</v>
      </c>
      <c r="G462">
        <v>7650</v>
      </c>
      <c r="H462">
        <f xml:space="preserve"> Table1[[#This Row],[Gross_Revenue]]-Table1[[#This Row],[Refunds]]</f>
        <v>7553</v>
      </c>
      <c r="I462" s="2">
        <f xml:space="preserve"> Table1[[#This Row],[Net Revenue]]/Table1[[#This Row],[Marketing_Spend]]</f>
        <v>5.4338129496402878</v>
      </c>
      <c r="J462" s="2">
        <f>Table1[[#This Row],[Marketing_Spend]]/Table1[[#This Row],[Web_Traffic]]</f>
        <v>0.18169934640522875</v>
      </c>
    </row>
    <row r="463" spans="1:10" x14ac:dyDescent="0.3">
      <c r="A463" s="1">
        <v>45888</v>
      </c>
      <c r="B463" t="s">
        <v>9</v>
      </c>
      <c r="C463" t="s">
        <v>10</v>
      </c>
      <c r="D463">
        <v>7550</v>
      </c>
      <c r="E463">
        <v>377</v>
      </c>
      <c r="F463">
        <v>1690</v>
      </c>
      <c r="G463">
        <v>8950</v>
      </c>
      <c r="H463">
        <f xml:space="preserve"> Table1[[#This Row],[Gross_Revenue]]-Table1[[#This Row],[Refunds]]</f>
        <v>7173</v>
      </c>
      <c r="I463" s="2">
        <f xml:space="preserve"> Table1[[#This Row],[Net Revenue]]/Table1[[#This Row],[Marketing_Spend]]</f>
        <v>4.2443786982248524</v>
      </c>
      <c r="J463" s="2">
        <f>Table1[[#This Row],[Marketing_Spend]]/Table1[[#This Row],[Web_Traffic]]</f>
        <v>0.1888268156424581</v>
      </c>
    </row>
    <row r="464" spans="1:10" x14ac:dyDescent="0.3">
      <c r="A464" s="1">
        <v>45889</v>
      </c>
      <c r="B464" t="s">
        <v>7</v>
      </c>
      <c r="C464" t="s">
        <v>8</v>
      </c>
      <c r="D464">
        <v>8000</v>
      </c>
      <c r="E464">
        <v>400</v>
      </c>
      <c r="F464">
        <v>1400</v>
      </c>
      <c r="G464">
        <v>7700</v>
      </c>
      <c r="H464">
        <f xml:space="preserve"> Table1[[#This Row],[Gross_Revenue]]-Table1[[#This Row],[Refunds]]</f>
        <v>7600</v>
      </c>
      <c r="I464" s="2">
        <f xml:space="preserve"> Table1[[#This Row],[Net Revenue]]/Table1[[#This Row],[Marketing_Spend]]</f>
        <v>5.4285714285714288</v>
      </c>
      <c r="J464" s="2">
        <f>Table1[[#This Row],[Marketing_Spend]]/Table1[[#This Row],[Web_Traffic]]</f>
        <v>0.18181818181818182</v>
      </c>
    </row>
    <row r="465" spans="1:10" x14ac:dyDescent="0.3">
      <c r="A465" s="1">
        <v>45889</v>
      </c>
      <c r="B465" t="s">
        <v>9</v>
      </c>
      <c r="C465" t="s">
        <v>10</v>
      </c>
      <c r="D465">
        <v>7600</v>
      </c>
      <c r="E465">
        <v>380</v>
      </c>
      <c r="F465">
        <v>1700</v>
      </c>
      <c r="G465">
        <v>9000</v>
      </c>
      <c r="H465">
        <f xml:space="preserve"> Table1[[#This Row],[Gross_Revenue]]-Table1[[#This Row],[Refunds]]</f>
        <v>7220</v>
      </c>
      <c r="I465" s="2">
        <f xml:space="preserve"> Table1[[#This Row],[Net Revenue]]/Table1[[#This Row],[Marketing_Spend]]</f>
        <v>4.2470588235294118</v>
      </c>
      <c r="J465" s="2">
        <f>Table1[[#This Row],[Marketing_Spend]]/Table1[[#This Row],[Web_Traffic]]</f>
        <v>0.18888888888888888</v>
      </c>
    </row>
    <row r="466" spans="1:10" x14ac:dyDescent="0.3">
      <c r="A466" s="1">
        <v>45890</v>
      </c>
      <c r="B466" t="s">
        <v>7</v>
      </c>
      <c r="C466" t="s">
        <v>8</v>
      </c>
      <c r="D466">
        <v>8050</v>
      </c>
      <c r="E466">
        <v>402</v>
      </c>
      <c r="F466">
        <v>1410</v>
      </c>
      <c r="G466">
        <v>7750</v>
      </c>
      <c r="H466">
        <f xml:space="preserve"> Table1[[#This Row],[Gross_Revenue]]-Table1[[#This Row],[Refunds]]</f>
        <v>7648</v>
      </c>
      <c r="I466" s="2">
        <f xml:space="preserve"> Table1[[#This Row],[Net Revenue]]/Table1[[#This Row],[Marketing_Spend]]</f>
        <v>5.4241134751773048</v>
      </c>
      <c r="J466" s="2">
        <f>Table1[[#This Row],[Marketing_Spend]]/Table1[[#This Row],[Web_Traffic]]</f>
        <v>0.18193548387096775</v>
      </c>
    </row>
    <row r="467" spans="1:10" x14ac:dyDescent="0.3">
      <c r="A467" s="1">
        <v>45890</v>
      </c>
      <c r="B467" t="s">
        <v>9</v>
      </c>
      <c r="C467" t="s">
        <v>10</v>
      </c>
      <c r="D467">
        <v>7650</v>
      </c>
      <c r="E467">
        <v>382</v>
      </c>
      <c r="F467">
        <v>1710</v>
      </c>
      <c r="G467">
        <v>9050</v>
      </c>
      <c r="H467">
        <f xml:space="preserve"> Table1[[#This Row],[Gross_Revenue]]-Table1[[#This Row],[Refunds]]</f>
        <v>7268</v>
      </c>
      <c r="I467" s="2">
        <f xml:space="preserve"> Table1[[#This Row],[Net Revenue]]/Table1[[#This Row],[Marketing_Spend]]</f>
        <v>4.2502923976608189</v>
      </c>
      <c r="J467" s="2">
        <f>Table1[[#This Row],[Marketing_Spend]]/Table1[[#This Row],[Web_Traffic]]</f>
        <v>0.18895027624309393</v>
      </c>
    </row>
    <row r="468" spans="1:10" x14ac:dyDescent="0.3">
      <c r="A468" s="1">
        <v>45891</v>
      </c>
      <c r="B468" t="s">
        <v>7</v>
      </c>
      <c r="C468" t="s">
        <v>8</v>
      </c>
      <c r="D468">
        <v>8100</v>
      </c>
      <c r="E468">
        <v>405</v>
      </c>
      <c r="F468">
        <v>1420</v>
      </c>
      <c r="G468">
        <v>7800</v>
      </c>
      <c r="H468">
        <f xml:space="preserve"> Table1[[#This Row],[Gross_Revenue]]-Table1[[#This Row],[Refunds]]</f>
        <v>7695</v>
      </c>
      <c r="I468" s="2">
        <f xml:space="preserve"> Table1[[#This Row],[Net Revenue]]/Table1[[#This Row],[Marketing_Spend]]</f>
        <v>5.419014084507042</v>
      </c>
      <c r="J468" s="2">
        <f>Table1[[#This Row],[Marketing_Spend]]/Table1[[#This Row],[Web_Traffic]]</f>
        <v>0.18205128205128204</v>
      </c>
    </row>
    <row r="469" spans="1:10" x14ac:dyDescent="0.3">
      <c r="A469" s="1">
        <v>45891</v>
      </c>
      <c r="B469" t="s">
        <v>9</v>
      </c>
      <c r="C469" t="s">
        <v>10</v>
      </c>
      <c r="D469">
        <v>7700</v>
      </c>
      <c r="E469">
        <v>385</v>
      </c>
      <c r="F469">
        <v>1720</v>
      </c>
      <c r="G469">
        <v>9100</v>
      </c>
      <c r="H469">
        <f xml:space="preserve"> Table1[[#This Row],[Gross_Revenue]]-Table1[[#This Row],[Refunds]]</f>
        <v>7315</v>
      </c>
      <c r="I469" s="2">
        <f xml:space="preserve"> Table1[[#This Row],[Net Revenue]]/Table1[[#This Row],[Marketing_Spend]]</f>
        <v>4.2529069767441863</v>
      </c>
      <c r="J469" s="2">
        <f>Table1[[#This Row],[Marketing_Spend]]/Table1[[#This Row],[Web_Traffic]]</f>
        <v>0.18901098901098901</v>
      </c>
    </row>
    <row r="470" spans="1:10" x14ac:dyDescent="0.3">
      <c r="A470" s="1">
        <v>45892</v>
      </c>
      <c r="B470" t="s">
        <v>7</v>
      </c>
      <c r="C470" t="s">
        <v>8</v>
      </c>
      <c r="D470">
        <v>8150</v>
      </c>
      <c r="E470">
        <v>407</v>
      </c>
      <c r="F470">
        <v>1430</v>
      </c>
      <c r="G470">
        <v>7850</v>
      </c>
      <c r="H470">
        <f xml:space="preserve"> Table1[[#This Row],[Gross_Revenue]]-Table1[[#This Row],[Refunds]]</f>
        <v>7743</v>
      </c>
      <c r="I470" s="2">
        <f xml:space="preserve"> Table1[[#This Row],[Net Revenue]]/Table1[[#This Row],[Marketing_Spend]]</f>
        <v>5.4146853146853147</v>
      </c>
      <c r="J470" s="2">
        <f>Table1[[#This Row],[Marketing_Spend]]/Table1[[#This Row],[Web_Traffic]]</f>
        <v>0.18216560509554139</v>
      </c>
    </row>
    <row r="471" spans="1:10" x14ac:dyDescent="0.3">
      <c r="A471" s="1">
        <v>45892</v>
      </c>
      <c r="B471" t="s">
        <v>9</v>
      </c>
      <c r="C471" t="s">
        <v>10</v>
      </c>
      <c r="D471">
        <v>7750</v>
      </c>
      <c r="E471">
        <v>387</v>
      </c>
      <c r="F471">
        <v>1730</v>
      </c>
      <c r="G471">
        <v>9150</v>
      </c>
      <c r="H471">
        <f xml:space="preserve"> Table1[[#This Row],[Gross_Revenue]]-Table1[[#This Row],[Refunds]]</f>
        <v>7363</v>
      </c>
      <c r="I471" s="2">
        <f xml:space="preserve"> Table1[[#This Row],[Net Revenue]]/Table1[[#This Row],[Marketing_Spend]]</f>
        <v>4.2560693641618501</v>
      </c>
      <c r="J471" s="2">
        <f>Table1[[#This Row],[Marketing_Spend]]/Table1[[#This Row],[Web_Traffic]]</f>
        <v>0.18907103825136612</v>
      </c>
    </row>
    <row r="472" spans="1:10" x14ac:dyDescent="0.3">
      <c r="A472" s="1">
        <v>45893</v>
      </c>
      <c r="B472" t="s">
        <v>7</v>
      </c>
      <c r="C472" t="s">
        <v>8</v>
      </c>
      <c r="D472">
        <v>8200</v>
      </c>
      <c r="E472">
        <v>410</v>
      </c>
      <c r="F472">
        <v>1440</v>
      </c>
      <c r="G472">
        <v>7900</v>
      </c>
      <c r="H472">
        <f xml:space="preserve"> Table1[[#This Row],[Gross_Revenue]]-Table1[[#This Row],[Refunds]]</f>
        <v>7790</v>
      </c>
      <c r="I472" s="2">
        <f xml:space="preserve"> Table1[[#This Row],[Net Revenue]]/Table1[[#This Row],[Marketing_Spend]]</f>
        <v>5.4097222222222223</v>
      </c>
      <c r="J472" s="2">
        <f>Table1[[#This Row],[Marketing_Spend]]/Table1[[#This Row],[Web_Traffic]]</f>
        <v>0.18227848101265823</v>
      </c>
    </row>
    <row r="473" spans="1:10" x14ac:dyDescent="0.3">
      <c r="A473" s="1">
        <v>45893</v>
      </c>
      <c r="B473" t="s">
        <v>9</v>
      </c>
      <c r="C473" t="s">
        <v>10</v>
      </c>
      <c r="D473">
        <v>7800</v>
      </c>
      <c r="E473">
        <v>390</v>
      </c>
      <c r="F473">
        <v>1740</v>
      </c>
      <c r="G473">
        <v>9200</v>
      </c>
      <c r="H473">
        <f xml:space="preserve"> Table1[[#This Row],[Gross_Revenue]]-Table1[[#This Row],[Refunds]]</f>
        <v>7410</v>
      </c>
      <c r="I473" s="2">
        <f xml:space="preserve"> Table1[[#This Row],[Net Revenue]]/Table1[[#This Row],[Marketing_Spend]]</f>
        <v>4.2586206896551726</v>
      </c>
      <c r="J473" s="2">
        <f>Table1[[#This Row],[Marketing_Spend]]/Table1[[#This Row],[Web_Traffic]]</f>
        <v>0.18913043478260869</v>
      </c>
    </row>
    <row r="474" spans="1:10" x14ac:dyDescent="0.3">
      <c r="A474" s="1">
        <v>45894</v>
      </c>
      <c r="B474" t="s">
        <v>7</v>
      </c>
      <c r="C474" t="s">
        <v>8</v>
      </c>
      <c r="D474">
        <v>8250</v>
      </c>
      <c r="E474">
        <v>412</v>
      </c>
      <c r="F474">
        <v>1450</v>
      </c>
      <c r="G474">
        <v>7950</v>
      </c>
      <c r="H474">
        <f xml:space="preserve"> Table1[[#This Row],[Gross_Revenue]]-Table1[[#This Row],[Refunds]]</f>
        <v>7838</v>
      </c>
      <c r="I474" s="2">
        <f xml:space="preserve"> Table1[[#This Row],[Net Revenue]]/Table1[[#This Row],[Marketing_Spend]]</f>
        <v>5.40551724137931</v>
      </c>
      <c r="J474" s="2">
        <f>Table1[[#This Row],[Marketing_Spend]]/Table1[[#This Row],[Web_Traffic]]</f>
        <v>0.18238993710691823</v>
      </c>
    </row>
    <row r="475" spans="1:10" x14ac:dyDescent="0.3">
      <c r="A475" s="1">
        <v>45894</v>
      </c>
      <c r="B475" t="s">
        <v>9</v>
      </c>
      <c r="C475" t="s">
        <v>10</v>
      </c>
      <c r="D475">
        <v>7850</v>
      </c>
      <c r="E475">
        <v>392</v>
      </c>
      <c r="F475">
        <v>1750</v>
      </c>
      <c r="G475">
        <v>9250</v>
      </c>
      <c r="H475">
        <f xml:space="preserve"> Table1[[#This Row],[Gross_Revenue]]-Table1[[#This Row],[Refunds]]</f>
        <v>7458</v>
      </c>
      <c r="I475" s="2">
        <f xml:space="preserve"> Table1[[#This Row],[Net Revenue]]/Table1[[#This Row],[Marketing_Spend]]</f>
        <v>4.2617142857142856</v>
      </c>
      <c r="J475" s="2">
        <f>Table1[[#This Row],[Marketing_Spend]]/Table1[[#This Row],[Web_Traffic]]</f>
        <v>0.1891891891891892</v>
      </c>
    </row>
    <row r="476" spans="1:10" x14ac:dyDescent="0.3">
      <c r="A476" s="1">
        <v>45895</v>
      </c>
      <c r="B476" t="s">
        <v>7</v>
      </c>
      <c r="C476" t="s">
        <v>8</v>
      </c>
      <c r="D476">
        <v>8300</v>
      </c>
      <c r="E476">
        <v>415</v>
      </c>
      <c r="F476">
        <v>1460</v>
      </c>
      <c r="G476">
        <v>8000</v>
      </c>
      <c r="H476">
        <f xml:space="preserve"> Table1[[#This Row],[Gross_Revenue]]-Table1[[#This Row],[Refunds]]</f>
        <v>7885</v>
      </c>
      <c r="I476" s="2">
        <f xml:space="preserve"> Table1[[#This Row],[Net Revenue]]/Table1[[#This Row],[Marketing_Spend]]</f>
        <v>5.4006849315068495</v>
      </c>
      <c r="J476" s="2">
        <f>Table1[[#This Row],[Marketing_Spend]]/Table1[[#This Row],[Web_Traffic]]</f>
        <v>0.1825</v>
      </c>
    </row>
    <row r="477" spans="1:10" x14ac:dyDescent="0.3">
      <c r="A477" s="1">
        <v>45895</v>
      </c>
      <c r="B477" t="s">
        <v>9</v>
      </c>
      <c r="C477" t="s">
        <v>10</v>
      </c>
      <c r="D477">
        <v>7900</v>
      </c>
      <c r="E477">
        <v>395</v>
      </c>
      <c r="F477">
        <v>1760</v>
      </c>
      <c r="G477">
        <v>9300</v>
      </c>
      <c r="H477">
        <f xml:space="preserve"> Table1[[#This Row],[Gross_Revenue]]-Table1[[#This Row],[Refunds]]</f>
        <v>7505</v>
      </c>
      <c r="I477" s="2">
        <f xml:space="preserve"> Table1[[#This Row],[Net Revenue]]/Table1[[#This Row],[Marketing_Spend]]</f>
        <v>4.2642045454545459</v>
      </c>
      <c r="J477" s="2">
        <f>Table1[[#This Row],[Marketing_Spend]]/Table1[[#This Row],[Web_Traffic]]</f>
        <v>0.18924731182795698</v>
      </c>
    </row>
    <row r="478" spans="1:10" x14ac:dyDescent="0.3">
      <c r="A478" s="1">
        <v>45896</v>
      </c>
      <c r="B478" t="s">
        <v>7</v>
      </c>
      <c r="C478" t="s">
        <v>8</v>
      </c>
      <c r="D478">
        <v>8350</v>
      </c>
      <c r="E478">
        <v>417</v>
      </c>
      <c r="F478">
        <v>1470</v>
      </c>
      <c r="G478">
        <v>8050</v>
      </c>
      <c r="H478">
        <f xml:space="preserve"> Table1[[#This Row],[Gross_Revenue]]-Table1[[#This Row],[Refunds]]</f>
        <v>7933</v>
      </c>
      <c r="I478" s="2">
        <f xml:space="preserve"> Table1[[#This Row],[Net Revenue]]/Table1[[#This Row],[Marketing_Spend]]</f>
        <v>5.3965986394557826</v>
      </c>
      <c r="J478" s="2">
        <f>Table1[[#This Row],[Marketing_Spend]]/Table1[[#This Row],[Web_Traffic]]</f>
        <v>0.18260869565217391</v>
      </c>
    </row>
    <row r="479" spans="1:10" x14ac:dyDescent="0.3">
      <c r="A479" s="1">
        <v>45896</v>
      </c>
      <c r="B479" t="s">
        <v>9</v>
      </c>
      <c r="C479" t="s">
        <v>10</v>
      </c>
      <c r="D479">
        <v>7950</v>
      </c>
      <c r="E479">
        <v>397</v>
      </c>
      <c r="F479">
        <v>1770</v>
      </c>
      <c r="G479">
        <v>9350</v>
      </c>
      <c r="H479">
        <f xml:space="preserve"> Table1[[#This Row],[Gross_Revenue]]-Table1[[#This Row],[Refunds]]</f>
        <v>7553</v>
      </c>
      <c r="I479" s="2">
        <f xml:space="preserve"> Table1[[#This Row],[Net Revenue]]/Table1[[#This Row],[Marketing_Spend]]</f>
        <v>4.2672316384180791</v>
      </c>
      <c r="J479" s="2">
        <f>Table1[[#This Row],[Marketing_Spend]]/Table1[[#This Row],[Web_Traffic]]</f>
        <v>0.1893048128342246</v>
      </c>
    </row>
    <row r="480" spans="1:10" x14ac:dyDescent="0.3">
      <c r="A480" s="1">
        <v>45897</v>
      </c>
      <c r="B480" t="s">
        <v>7</v>
      </c>
      <c r="C480" t="s">
        <v>8</v>
      </c>
      <c r="D480">
        <v>6200</v>
      </c>
      <c r="E480">
        <v>310</v>
      </c>
      <c r="F480">
        <v>1100</v>
      </c>
      <c r="G480">
        <v>5800</v>
      </c>
      <c r="H480">
        <f xml:space="preserve"> Table1[[#This Row],[Gross_Revenue]]-Table1[[#This Row],[Refunds]]</f>
        <v>5890</v>
      </c>
      <c r="I480" s="2">
        <f xml:space="preserve"> Table1[[#This Row],[Net Revenue]]/Table1[[#This Row],[Marketing_Spend]]</f>
        <v>5.3545454545454545</v>
      </c>
      <c r="J480" s="2">
        <f>Table1[[#This Row],[Marketing_Spend]]/Table1[[#This Row],[Web_Traffic]]</f>
        <v>0.18965517241379309</v>
      </c>
    </row>
    <row r="481" spans="1:10" x14ac:dyDescent="0.3">
      <c r="A481" s="1">
        <v>45897</v>
      </c>
      <c r="B481" t="s">
        <v>9</v>
      </c>
      <c r="C481" t="s">
        <v>10</v>
      </c>
      <c r="D481">
        <v>5900</v>
      </c>
      <c r="E481">
        <v>295</v>
      </c>
      <c r="F481">
        <v>1400</v>
      </c>
      <c r="G481">
        <v>7200</v>
      </c>
      <c r="H481">
        <f xml:space="preserve"> Table1[[#This Row],[Gross_Revenue]]-Table1[[#This Row],[Refunds]]</f>
        <v>5605</v>
      </c>
      <c r="I481" s="2">
        <f xml:space="preserve"> Table1[[#This Row],[Net Revenue]]/Table1[[#This Row],[Marketing_Spend]]</f>
        <v>4.003571428571429</v>
      </c>
      <c r="J481" s="2">
        <f>Table1[[#This Row],[Marketing_Spend]]/Table1[[#This Row],[Web_Traffic]]</f>
        <v>0.19444444444444445</v>
      </c>
    </row>
    <row r="482" spans="1:10" x14ac:dyDescent="0.3">
      <c r="A482" s="1">
        <v>45898</v>
      </c>
      <c r="B482" t="s">
        <v>7</v>
      </c>
      <c r="C482" t="s">
        <v>8</v>
      </c>
      <c r="D482">
        <v>6400</v>
      </c>
      <c r="E482">
        <v>320</v>
      </c>
      <c r="F482">
        <v>1150</v>
      </c>
      <c r="G482">
        <v>5900</v>
      </c>
      <c r="H482">
        <f xml:space="preserve"> Table1[[#This Row],[Gross_Revenue]]-Table1[[#This Row],[Refunds]]</f>
        <v>6080</v>
      </c>
      <c r="I482" s="2">
        <f xml:space="preserve"> Table1[[#This Row],[Net Revenue]]/Table1[[#This Row],[Marketing_Spend]]</f>
        <v>5.2869565217391301</v>
      </c>
      <c r="J482" s="2">
        <f>Table1[[#This Row],[Marketing_Spend]]/Table1[[#This Row],[Web_Traffic]]</f>
        <v>0.19491525423728814</v>
      </c>
    </row>
    <row r="483" spans="1:10" x14ac:dyDescent="0.3">
      <c r="A483" s="1">
        <v>45898</v>
      </c>
      <c r="B483" t="s">
        <v>9</v>
      </c>
      <c r="C483" t="s">
        <v>10</v>
      </c>
      <c r="D483">
        <v>6100</v>
      </c>
      <c r="E483">
        <v>305</v>
      </c>
      <c r="F483">
        <v>1450</v>
      </c>
      <c r="G483">
        <v>7400</v>
      </c>
      <c r="H483">
        <f xml:space="preserve"> Table1[[#This Row],[Gross_Revenue]]-Table1[[#This Row],[Refunds]]</f>
        <v>5795</v>
      </c>
      <c r="I483" s="2">
        <f xml:space="preserve"> Table1[[#This Row],[Net Revenue]]/Table1[[#This Row],[Marketing_Spend]]</f>
        <v>3.9965517241379311</v>
      </c>
      <c r="J483" s="2">
        <f>Table1[[#This Row],[Marketing_Spend]]/Table1[[#This Row],[Web_Traffic]]</f>
        <v>0.19594594594594594</v>
      </c>
    </row>
    <row r="484" spans="1:10" x14ac:dyDescent="0.3">
      <c r="A484" s="1">
        <v>45899</v>
      </c>
      <c r="B484" t="s">
        <v>7</v>
      </c>
      <c r="C484" t="s">
        <v>8</v>
      </c>
      <c r="D484">
        <v>6500</v>
      </c>
      <c r="E484">
        <v>325</v>
      </c>
      <c r="F484">
        <v>1200</v>
      </c>
      <c r="G484">
        <v>6000</v>
      </c>
      <c r="H484">
        <f xml:space="preserve"> Table1[[#This Row],[Gross_Revenue]]-Table1[[#This Row],[Refunds]]</f>
        <v>6175</v>
      </c>
      <c r="I484" s="2">
        <f xml:space="preserve"> Table1[[#This Row],[Net Revenue]]/Table1[[#This Row],[Marketing_Spend]]</f>
        <v>5.145833333333333</v>
      </c>
      <c r="J484" s="2">
        <f>Table1[[#This Row],[Marketing_Spend]]/Table1[[#This Row],[Web_Traffic]]</f>
        <v>0.2</v>
      </c>
    </row>
    <row r="485" spans="1:10" x14ac:dyDescent="0.3">
      <c r="A485" s="1">
        <v>45899</v>
      </c>
      <c r="B485" t="s">
        <v>9</v>
      </c>
      <c r="C485" t="s">
        <v>10</v>
      </c>
      <c r="D485">
        <v>6200</v>
      </c>
      <c r="E485">
        <v>310</v>
      </c>
      <c r="F485">
        <v>1500</v>
      </c>
      <c r="G485">
        <v>7500</v>
      </c>
      <c r="H485">
        <f xml:space="preserve"> Table1[[#This Row],[Gross_Revenue]]-Table1[[#This Row],[Refunds]]</f>
        <v>5890</v>
      </c>
      <c r="I485" s="2">
        <f xml:space="preserve"> Table1[[#This Row],[Net Revenue]]/Table1[[#This Row],[Marketing_Spend]]</f>
        <v>3.9266666666666667</v>
      </c>
      <c r="J485" s="2">
        <f>Table1[[#This Row],[Marketing_Spend]]/Table1[[#This Row],[Web_Traffic]]</f>
        <v>0.2</v>
      </c>
    </row>
    <row r="486" spans="1:10" x14ac:dyDescent="0.3">
      <c r="A486" s="1">
        <v>45900</v>
      </c>
      <c r="B486" t="s">
        <v>7</v>
      </c>
      <c r="C486" t="s">
        <v>8</v>
      </c>
      <c r="D486">
        <v>6600</v>
      </c>
      <c r="E486">
        <v>330</v>
      </c>
      <c r="F486">
        <v>1250</v>
      </c>
      <c r="G486">
        <v>6100</v>
      </c>
      <c r="H486">
        <f xml:space="preserve"> Table1[[#This Row],[Gross_Revenue]]-Table1[[#This Row],[Refunds]]</f>
        <v>6270</v>
      </c>
      <c r="I486" s="2">
        <f xml:space="preserve"> Table1[[#This Row],[Net Revenue]]/Table1[[#This Row],[Marketing_Spend]]</f>
        <v>5.016</v>
      </c>
      <c r="J486" s="2">
        <f>Table1[[#This Row],[Marketing_Spend]]/Table1[[#This Row],[Web_Traffic]]</f>
        <v>0.20491803278688525</v>
      </c>
    </row>
    <row r="487" spans="1:10" x14ac:dyDescent="0.3">
      <c r="A487" s="1">
        <v>45900</v>
      </c>
      <c r="B487" t="s">
        <v>9</v>
      </c>
      <c r="C487" t="s">
        <v>10</v>
      </c>
      <c r="D487">
        <v>6300</v>
      </c>
      <c r="E487">
        <v>315</v>
      </c>
      <c r="F487">
        <v>1550</v>
      </c>
      <c r="G487">
        <v>7600</v>
      </c>
      <c r="H487">
        <f xml:space="preserve"> Table1[[#This Row],[Gross_Revenue]]-Table1[[#This Row],[Refunds]]</f>
        <v>5985</v>
      </c>
      <c r="I487" s="2">
        <f xml:space="preserve"> Table1[[#This Row],[Net Revenue]]/Table1[[#This Row],[Marketing_Spend]]</f>
        <v>3.8612903225806452</v>
      </c>
      <c r="J487" s="2">
        <f>Table1[[#This Row],[Marketing_Spend]]/Table1[[#This Row],[Web_Traffic]]</f>
        <v>0.20394736842105263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Trend Analysis</vt:lpstr>
      <vt:lpstr>Anomaly_Summary</vt:lpstr>
      <vt:lpstr>Pivot_CEO_View</vt:lpstr>
      <vt:lpstr>Pivot_Correlation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Suraj Bhandari</cp:lastModifiedBy>
  <dcterms:created xsi:type="dcterms:W3CDTF">2026-02-10T18:24:53Z</dcterms:created>
  <dcterms:modified xsi:type="dcterms:W3CDTF">2026-02-11T18:15:07Z</dcterms:modified>
</cp:coreProperties>
</file>